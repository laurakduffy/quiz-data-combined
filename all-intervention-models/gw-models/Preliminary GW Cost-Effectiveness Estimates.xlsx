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W Spend + DMR" sheetId="1" r:id="rId5"/>
    <sheet state="visible" name="Percentiles_for_python" sheetId="2" r:id="rId6"/>
    <sheet state="visible" name="Overall Grantmaking" sheetId="3" r:id="rId7"/>
    <sheet state="visible" name="Percent Distribution Across Int" sheetId="4" r:id="rId8"/>
    <sheet state="visible" name="Cash Transfers Value"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8">
      <text>
        <t xml:space="preserve">See cash transfers sheet</t>
      </text>
    </comment>
  </commentList>
</comments>
</file>

<file path=xl/sharedStrings.xml><?xml version="1.0" encoding="utf-8"?>
<sst xmlns="http://schemas.openxmlformats.org/spreadsheetml/2006/main" count="258" uniqueCount="182">
  <si>
    <t>Year</t>
  </si>
  <si>
    <t>Projected Grantmaking - linear</t>
  </si>
  <si>
    <t>Projected Grantmaking - flat</t>
  </si>
  <si>
    <t>Projected Grantmaking - average</t>
  </si>
  <si>
    <t>Notes</t>
  </si>
  <si>
    <t>GiveWell’s 2024 Metrics and Impact</t>
  </si>
  <si>
    <t>From GW in email from Hannah Bell 2/19/26</t>
  </si>
  <si>
    <t>Source: Estimate from GW (Hannah Bell via email to Carmen, 2/19</t>
  </si>
  <si>
    <t>In one scenario, assume that GW's portfolio grows linearly per year, and in the other assume it's constant. We take the average to get an overall estimate of what their portfolio will be in the next 3 years</t>
  </si>
  <si>
    <t>Total (2026-2028)</t>
  </si>
  <si>
    <t>Diminishing Returns</t>
  </si>
  <si>
    <t>Power</t>
  </si>
  <si>
    <t>Assume 10% decline in cost-effectiveness per doubling of funds</t>
  </si>
  <si>
    <r>
      <rPr/>
      <t xml:space="preserve">Just an assumption, but GiveWell has even </t>
    </r>
    <r>
      <rPr>
        <color rgb="FF1155CC"/>
        <u/>
      </rPr>
      <t>raised its bar</t>
    </r>
    <r>
      <rPr/>
      <t xml:space="preserve"> over time and GW has been a small portion of all GHD giving, so I assume there are many more cost-effective opportunities near GW's current bar for billions of dollars in the future</t>
    </r>
  </si>
  <si>
    <t>Results, transposed:</t>
  </si>
  <si>
    <t>Additional funding</t>
  </si>
  <si>
    <t>funding up to</t>
  </si>
  <si>
    <t>Marginal Cost-Effectiveness Relative to Baseline</t>
  </si>
  <si>
    <t xml:space="preserve">Calculations: </t>
  </si>
  <si>
    <t>Amount of Additional Funding</t>
  </si>
  <si>
    <t>Summary of Preliminary Estimates for GW Effects</t>
  </si>
  <si>
    <t>Final distributions</t>
  </si>
  <si>
    <t>Life years saved/$1M</t>
  </si>
  <si>
    <t>5th-percentile</t>
  </si>
  <si>
    <t>Mean</t>
  </si>
  <si>
    <t>95th percentile</t>
  </si>
  <si>
    <t>Assume that saving a life leads to 60 more years of life lived</t>
  </si>
  <si>
    <t>0-5 years</t>
  </si>
  <si>
    <t>5-10 years</t>
  </si>
  <si>
    <t>10-20 years</t>
  </si>
  <si>
    <t>20-100 years</t>
  </si>
  <si>
    <t>100-500 years</t>
  </si>
  <si>
    <t>500+ years</t>
  </si>
  <si>
    <t>YLDs averted/$1M</t>
  </si>
  <si>
    <t>Income Doublings/$1M</t>
  </si>
  <si>
    <t>Legend</t>
  </si>
  <si>
    <t>Lives saved/$1M</t>
  </si>
  <si>
    <t>Data/Input</t>
  </si>
  <si>
    <t>Informed Estimate</t>
  </si>
  <si>
    <t>Calculation</t>
  </si>
  <si>
    <t>Computations</t>
  </si>
  <si>
    <t>GW units value per $1M per 1x benchmark</t>
  </si>
  <si>
    <t>See cash transfers sheet</t>
  </si>
  <si>
    <t>Value Type</t>
  </si>
  <si>
    <t>Percent benefits</t>
  </si>
  <si>
    <t>GW Moral Weight</t>
  </si>
  <si>
    <t xml:space="preserve">We'll assume for this preliminary version that an intervention's distribution of value across effect type is independent from the intervention's cost-effectiveness. </t>
  </si>
  <si>
    <t>Mortality Effects</t>
  </si>
  <si>
    <t>Morbidity Effects</t>
  </si>
  <si>
    <t>Income Effects</t>
  </si>
  <si>
    <t>Distribution of cost-effectiveness (x benchmark)</t>
  </si>
  <si>
    <t>Grantmaking Value (multiples benchmark)</t>
  </si>
  <si>
    <r>
      <rPr>
        <color rgb="FF1155CC"/>
        <u/>
      </rPr>
      <t>Percent Grantmaking</t>
    </r>
    <r>
      <rPr>
        <color rgb="FF000000"/>
      </rPr>
      <t xml:space="preserve"> in 2025</t>
    </r>
  </si>
  <si>
    <t>5th percentile (x benchmark)</t>
  </si>
  <si>
    <t>Best guess (x benchmark)</t>
  </si>
  <si>
    <t>95th percentile (x benchmark)</t>
  </si>
  <si>
    <t>We'll estimate the distribution of cost-effectiveness for GW's grantmaking using data on their 2025 grantmaking and their own estimates of the share of grant dollars that were &lt;8x cost-effective as the benchmark, 8-16x, and &gt;16x</t>
  </si>
  <si>
    <t>&lt;8x</t>
  </si>
  <si>
    <t xml:space="preserve">We'll assume that the worst-case scenario for a grant that is &lt;8x the benchmark is that it is 2x the benchmark, or half as cost-effective than GiveDirectly (3.3x) . We'll assume a symmetric distribution, making the average cost-effectiveness of a grant in this category 6x benchmark. This is just an assumption, but it appears that some things GW has funded are as low as 2x (see https://share.transistor.fm/s/e84ac0cc/transcript) There's a 5% chance that a grant GW thinks is &lt;8x is actually &gt;8x. </t>
  </si>
  <si>
    <t>8-16x</t>
  </si>
  <si>
    <t xml:space="preserve">Assume a symmetric distribution with 5th percentile of 8x and 95th percentile 16x. This implies a 10% chance that grants categorized as 8-16x are miscategorized. </t>
  </si>
  <si>
    <t>&gt;16x</t>
  </si>
  <si>
    <t xml:space="preserve">Assume that a typical grantmaking opportunity that exceeds 16x the benchmark is like one given to New Incentives. New Incentives' programs' cost-effectiveness could be as high as 44x. With a lognormal distribution that has a 90% confidence interval between 16 and 44, we would get an average cost-effectiveness of 28. </t>
  </si>
  <si>
    <t>Distribution of cost effectiveness (units value/$1M)</t>
  </si>
  <si>
    <t>5th percentile (units/$1M)</t>
  </si>
  <si>
    <t>Best Guess (units/$1M)</t>
  </si>
  <si>
    <t>95th percentile (units/$1M)</t>
  </si>
  <si>
    <t>Multiply by the number of units of value per x the benchmark per $1M, to get units of value per $1M</t>
  </si>
  <si>
    <t>Weighted Average cost effectiveness</t>
  </si>
  <si>
    <t>Best guess (units/$1M)</t>
  </si>
  <si>
    <r>
      <rPr>
        <color rgb="FF1155CC"/>
        <u/>
      </rPr>
      <t>Total units of value</t>
    </r>
    <r>
      <rPr/>
      <t xml:space="preserve"> per $1M</t>
    </r>
  </si>
  <si>
    <r>
      <rPr/>
      <t xml:space="preserve">Link goes to a </t>
    </r>
    <r>
      <rPr>
        <color rgb="FF1155CC"/>
        <u/>
      </rPr>
      <t>Guesstimate model</t>
    </r>
    <r>
      <rPr/>
      <t xml:space="preserve"> that takes a weighted sum of the three distributions above to get an overall estimate of the spread of GiveWell's cost-effectiveness. </t>
    </r>
  </si>
  <si>
    <t>Check: Average is approximately 16x</t>
  </si>
  <si>
    <r>
      <rPr/>
      <t xml:space="preserve">GiveWell </t>
    </r>
    <r>
      <rPr>
        <color rgb="FF1155CC"/>
        <u/>
      </rPr>
      <t>reports</t>
    </r>
    <r>
      <rPr/>
      <t xml:space="preserve"> that they estimate that their 2025 grantmaking was 16x as cost-effective as cash on average. Here we make sure that the implied average cost-effectiveness is indeed about 16x. </t>
    </r>
  </si>
  <si>
    <t>Units value per $1M from...</t>
  </si>
  <si>
    <t xml:space="preserve">Next, we can split out the value by source. This implicitly assumes that the uncertainty around each effect is the same. I suspect this is wrong, because the income effects of the interventions should be much higher variance than the mortality and morbidity effects since they primarily happen in the future. However, for this preliminary estimate, we will assume the same variation. </t>
  </si>
  <si>
    <t>Mortality effects</t>
  </si>
  <si>
    <t>Morbidity effects</t>
  </si>
  <si>
    <t>Income effects</t>
  </si>
  <si>
    <t>Estimated outcomes/$1M</t>
  </si>
  <si>
    <t>Dividing the units of value from each type of benefit/$1M by GW's moral weights per type of benefit.</t>
  </si>
  <si>
    <t>Lives saved</t>
  </si>
  <si>
    <t>YLDs averted</t>
  </si>
  <si>
    <t>Income doublings</t>
  </si>
  <si>
    <t>Temporal Breakdown of Effects</t>
  </si>
  <si>
    <t>Lives saved...</t>
  </si>
  <si>
    <t>YLDs averted...</t>
  </si>
  <si>
    <t>Income effects...</t>
  </si>
  <si>
    <t>Here I make assumptions about when the benefits occur.</t>
  </si>
  <si>
    <t>The vast majority of lives saved should be expected to occur in the next few years. But GiveWell spends some percentage of its budget on research &amp; pilot projects that should result in long-term lives saved. I assume that the breakdown is 90% lives saved in the next 5 years, 7% in 5-10 years, 2.5% in 10-20 years, and 0.5% in 20-100 years. I assume that YLDs averted have the same temporal distribution as lives saved</t>
  </si>
  <si>
    <t xml:space="preserve">The majority of the income effects GW models should be long-term income increases for reductions in disease in the short-term and the cognitive benefits that has. That is, given GiveWell's programs focus mostly on under-5 children, and given those kids won't be in the workforce for 1-2 decades at least, most of the income effects should occur in the 10-20 + 20-100 year timeframe. I'll assume that this is 80% overall. If a person spends ~40 years working, then maybe 15% of the 80% occurs in the 10-20 year window, and the remainder occurs in the 20-100 year window. 
Of the remaining 20%, let's say that 90% happens in the next 5 years (due to healthcare savings costs and short-term consumption increases from the program), 7% happens in 5-10 years (due to some pilot programs paying off in this period), 2.5% in 10-20 years, and 0.5% in 20-100 years. </t>
  </si>
  <si>
    <t>Distribution of 2025 Funding Across Interventions</t>
  </si>
  <si>
    <t>Distribution of Value Across Benefit Types Under GW's Moral Weights</t>
  </si>
  <si>
    <r>
      <rPr>
        <color rgb="FF1155CC"/>
        <u/>
      </rPr>
      <t>Percent funding</t>
    </r>
    <r>
      <rPr>
        <color rgb="FF000000"/>
      </rPr>
      <t xml:space="preserve"> in 2025</t>
    </r>
  </si>
  <si>
    <t>Morbidity effects (% value)</t>
  </si>
  <si>
    <t>Lives saved effects (% value)</t>
  </si>
  <si>
    <t>Income effects (% value)</t>
  </si>
  <si>
    <t>Total</t>
  </si>
  <si>
    <t>Moral weight for lives saved</t>
  </si>
  <si>
    <t>Source</t>
  </si>
  <si>
    <t>Lives saved effects</t>
  </si>
  <si>
    <t>Malaria Prevention and Treatment</t>
  </si>
  <si>
    <t xml:space="preserve">Assume that AMF is roughly representative here of the typical malaria prevention grant in terms of its distribution of effects across value types. </t>
  </si>
  <si>
    <r>
      <rPr/>
      <t xml:space="preserve">Malaria morbidity contributes 9% of the effects, and short-term anemia effects (which we assume to be 58% quality-of-life effects, see row on Iron fortification) account for another 9% of benefits. See </t>
    </r>
    <r>
      <rPr>
        <color rgb="FF1155CC"/>
        <u/>
      </rPr>
      <t>here</t>
    </r>
  </si>
  <si>
    <r>
      <rPr/>
      <t xml:space="preserve">In Uganda, GW </t>
    </r>
    <r>
      <rPr>
        <color rgb="FF1155CC"/>
        <u/>
      </rPr>
      <t>estimates</t>
    </r>
    <r>
      <rPr/>
      <t xml:space="preserve"> that 59% of benefits come from reduced mortality among children under 5, and 9% of the benefits come from reduced mortality over 5. This is renormalized to account for the morbidity effects. Estimates of the % can vary by country, but we assume that Uganda is roughly representative</t>
    </r>
  </si>
  <si>
    <r>
      <rPr/>
      <t xml:space="preserve">GW </t>
    </r>
    <r>
      <rPr>
        <color rgb="FF1155CC"/>
        <u/>
      </rPr>
      <t>estimates</t>
    </r>
    <r>
      <rPr/>
      <t xml:space="preserve"> that 32% of the benefits of reducing malaria come later in life from income increases. We renormalize this to account for morbidity effects. </t>
    </r>
  </si>
  <si>
    <t>Vaccinations</t>
  </si>
  <si>
    <r>
      <rPr/>
      <t xml:space="preserve">Sum "Morbidity effects from directly incentivized vaccines and rotavirus" and "Morbidity effects of indirectly incentivized vaccines besides rotavirus (i.e., polio, yellow fever, rubella, mumps, varicella meningitis A)" in </t>
    </r>
    <r>
      <rPr>
        <color rgb="FF1155CC"/>
        <u/>
      </rPr>
      <t>linked spreadsheet</t>
    </r>
  </si>
  <si>
    <r>
      <rPr>
        <color rgb="FF1155CC"/>
        <u/>
      </rPr>
      <t>66%</t>
    </r>
    <r>
      <rPr/>
      <t xml:space="preserve"> of the value came from lives saved under 5, 10% from lives saved over 5, before renormalizing for the fact that some of this value is actually due to morbidity reductions.</t>
    </r>
  </si>
  <si>
    <r>
      <rPr>
        <color rgb="FF1155CC"/>
        <u/>
      </rPr>
      <t>22%</t>
    </r>
    <r>
      <rPr/>
      <t xml:space="preserve"> of the value comes from long-term consumption increases for children getting vaccines now, before renormalizing for morbidity effects , and 2% comes now.</t>
    </r>
  </si>
  <si>
    <t>Malnutrition Treatment</t>
  </si>
  <si>
    <r>
      <rPr/>
      <t xml:space="preserve">For Taimaka, GW estimates that 3.9% of the value comes from averting morbidity from malnutrition (5.9%-2.0%). See </t>
    </r>
    <r>
      <rPr>
        <color rgb="FF1155CC"/>
        <u/>
      </rPr>
      <t>link</t>
    </r>
    <r>
      <rPr/>
      <t>.</t>
    </r>
  </si>
  <si>
    <r>
      <rPr/>
      <t>GW estimates that, for a grant they make to Taimaka, 52937 units of value are created, of which 44059 come from mortality reductions. We normalize this for the fact that some will come from morbidity effects. See</t>
    </r>
    <r>
      <rPr>
        <color rgb="FF1155CC"/>
        <u/>
      </rPr>
      <t xml:space="preserve"> here</t>
    </r>
  </si>
  <si>
    <r>
      <rPr/>
      <t>Of the 52937 units of value from a grant to Taimaka, 8878 come from long-term income increases. See</t>
    </r>
    <r>
      <rPr>
        <color rgb="FF1155CC"/>
        <u/>
      </rPr>
      <t xml:space="preserve"> here</t>
    </r>
  </si>
  <si>
    <t>Water</t>
  </si>
  <si>
    <t xml:space="preserve">Assume that GiveWell's water quality portfolio's effects have a similar distribution across benefit streams as ILC interventions in Kenya. </t>
  </si>
  <si>
    <r>
      <rPr/>
      <t>GW</t>
    </r>
    <r>
      <rPr>
        <color rgb="FF1155CC"/>
        <u/>
      </rPr>
      <t xml:space="preserve"> estimates</t>
    </r>
    <r>
      <rPr/>
      <t xml:space="preserve"> that, per 100k people covered by ILC, 128 units of value are created from reduced morbidity, in Kenya/</t>
    </r>
  </si>
  <si>
    <r>
      <rPr/>
      <t xml:space="preserve">GW </t>
    </r>
    <r>
      <rPr>
        <color rgb="FF1155CC"/>
        <u/>
      </rPr>
      <t>estimates</t>
    </r>
    <r>
      <rPr/>
      <t xml:space="preserve"> that, per 100k people covered, 2119 and 966 units of value are created from saving lives of people under-5 and over-5, respectively, in Kenya. </t>
    </r>
  </si>
  <si>
    <r>
      <rPr/>
      <t xml:space="preserve">GW </t>
    </r>
    <r>
      <rPr>
        <color rgb="FF1155CC"/>
        <u/>
      </rPr>
      <t>estimates</t>
    </r>
    <r>
      <rPr/>
      <t xml:space="preserve"> that, per 100k people covered by ILC in Kenya, 1426 units of value are created. </t>
    </r>
  </si>
  <si>
    <t>VAS</t>
  </si>
  <si>
    <r>
      <rPr/>
      <t xml:space="preserve">GW </t>
    </r>
    <r>
      <rPr>
        <color rgb="FF1155CC"/>
        <u/>
      </rPr>
      <t>estimates</t>
    </r>
    <r>
      <rPr/>
      <t xml:space="preserve"> that 6% of the value comes from reduced infectious disease morbidity, 9% due to reduced anemia effects in the short term (58% of which is from reduced morbidity), and 9% to reductions in blindness (58% of which I assume comes from reduced morbidity and maybe 42% comes from income)</t>
    </r>
  </si>
  <si>
    <r>
      <rPr/>
      <t xml:space="preserve">GW </t>
    </r>
    <r>
      <rPr>
        <color rgb="FF1155CC"/>
        <u/>
      </rPr>
      <t>estimates</t>
    </r>
    <r>
      <rPr/>
      <t xml:space="preserve"> that 80% of the benefits of VAS come from reduced child mortality. We normalize for the fact that some is due to morbidity reductions.</t>
    </r>
  </si>
  <si>
    <r>
      <rPr/>
      <t xml:space="preserve">GW </t>
    </r>
    <r>
      <rPr>
        <color rgb="FF1155CC"/>
        <u/>
      </rPr>
      <t>estimates</t>
    </r>
    <r>
      <rPr/>
      <t xml:space="preserve"> that 20% of the value comes from long-term income increases. We normalize for morbidity effects. </t>
    </r>
  </si>
  <si>
    <t>Iron Fortification</t>
  </si>
  <si>
    <r>
      <rPr/>
      <t>GW</t>
    </r>
    <r>
      <rPr>
        <color rgb="FF1155CC"/>
        <u/>
      </rPr>
      <t xml:space="preserve"> estimates</t>
    </r>
    <r>
      <rPr/>
      <t xml:space="preserve"> 58% of the value of iron fortification comes from reduced morbidity of anemia</t>
    </r>
  </si>
  <si>
    <t>GW does not model any life-saving effects from iron fortification and supplementation</t>
  </si>
  <si>
    <t xml:space="preserve">34% of the value is from cognitive benefits in adults and 8% from cognitive benefits in kids. </t>
  </si>
  <si>
    <t>Livelihoods</t>
  </si>
  <si>
    <t>Assume the distribution of benefits is similar to that of cash transfers through GiveDirectly</t>
  </si>
  <si>
    <t>See Cash Transfers Value tab</t>
  </si>
  <si>
    <t>Family Planning</t>
  </si>
  <si>
    <t xml:space="preserve">GW estimates that each year of contraception produces 0.7 units of value, 0.04 of which come from reduced maternal morbidity, 0.006 from reduced child morbidity, and 0.23 from improved mental health for women. </t>
  </si>
  <si>
    <t xml:space="preserve">Of the 0.7 units of value GW estimates are created by each year of contraception, they estimate that 0.05 comes from reduced maternal mortality and 0.09 from reduced child mortality. </t>
  </si>
  <si>
    <t xml:space="preserve">Of the 0.7 units of value created by each year of modern contraception, GW estimates that 0.05 comes from greater earnings for women, 0.04 from reduced medical expenses, and 0.19 comes from greater resources (consumption) for existing children. </t>
  </si>
  <si>
    <t>Other Research, Scoping, and Planning Grants</t>
  </si>
  <si>
    <t>Not assessed because too vague</t>
  </si>
  <si>
    <t>Other Health Programs</t>
  </si>
  <si>
    <r>
      <rPr>
        <color rgb="FF1155CC"/>
        <u/>
      </rPr>
      <t>Cash Transfers</t>
    </r>
    <r>
      <rPr>
        <color rgb="FF000000"/>
      </rPr>
      <t xml:space="preserve"> (Using GiveDirectly CEA)</t>
    </r>
  </si>
  <si>
    <t xml:space="preserve">The purpose of this sheet is to estimate the total number of units of value per 1x cash unit used in GiveWell's cost-effectiveness estimates. We also estimate the distribution of the value of cash transfers that comes from each benefit (YLDs averted, lives saved, income doublings) using GW's moral weights. </t>
  </si>
  <si>
    <t>Units value per $1M goes to GiveDirectly</t>
  </si>
  <si>
    <t>GiveDirectly multiples of benchmark</t>
  </si>
  <si>
    <r>
      <rPr/>
      <t xml:space="preserve">As of 2024, GW </t>
    </r>
    <r>
      <rPr>
        <color rgb="FF1155CC"/>
        <u/>
      </rPr>
      <t>says</t>
    </r>
    <r>
      <rPr/>
      <t xml:space="preserve"> that GiveDirectly is now 3.3x their benchmark value.</t>
    </r>
  </si>
  <si>
    <t>GW units value per multiple of benchmark per $1M</t>
  </si>
  <si>
    <t>In units of value</t>
  </si>
  <si>
    <t>Kenya</t>
  </si>
  <si>
    <t>Malawi</t>
  </si>
  <si>
    <t>Mozambique</t>
  </si>
  <si>
    <t>Rwanda</t>
  </si>
  <si>
    <t>Uganda</t>
  </si>
  <si>
    <t>Donation Size</t>
  </si>
  <si>
    <t>Estimate of where marginal $ goes</t>
  </si>
  <si>
    <t>Consumption benefits to recipients</t>
  </si>
  <si>
    <t>Spillover benefits to non-recipients</t>
  </si>
  <si>
    <t>Mortality benefits</t>
  </si>
  <si>
    <t>Pre-Adjustment Value Units</t>
  </si>
  <si>
    <t>Additional benefits and downsides</t>
  </si>
  <si>
    <t>Total Units Value</t>
  </si>
  <si>
    <t>Adjustment factors (From GW CEA)</t>
  </si>
  <si>
    <t>Reduced morbidity adjustment</t>
  </si>
  <si>
    <t>Developmental effects</t>
  </si>
  <si>
    <t>Leverage &amp; funging</t>
  </si>
  <si>
    <t>Risk of wastage/fraud</t>
  </si>
  <si>
    <t>Within-org fungibility</t>
  </si>
  <si>
    <t>Psychological spillovers</t>
  </si>
  <si>
    <t>Non-morbidity adjustment effects</t>
  </si>
  <si>
    <t>Morbidity benefits as percent pre-adjustment value</t>
  </si>
  <si>
    <t>Adj. Consumption benefits (all)</t>
  </si>
  <si>
    <t>Adj. Mortality benefits</t>
  </si>
  <si>
    <t>Adj. Morbidity effects</t>
  </si>
  <si>
    <t>Total value units</t>
  </si>
  <si>
    <t xml:space="preserve">Slightly off, most likely due to the way morbidity effects were added. </t>
  </si>
  <si>
    <r>
      <rPr>
        <color rgb="FF1155CC"/>
        <u/>
      </rPr>
      <t>Weighted average</t>
    </r>
    <r>
      <rPr>
        <color rgb="FF000000"/>
      </rPr>
      <t xml:space="preserve"> units value per $1M</t>
    </r>
  </si>
  <si>
    <t>Units value/$1M</t>
  </si>
  <si>
    <r>
      <rPr>
        <color rgb="FF000000"/>
      </rPr>
      <t>1/</t>
    </r>
    <r>
      <rPr>
        <color rgb="FF1155CC"/>
        <u/>
      </rPr>
      <t>Moral weight</t>
    </r>
    <r>
      <rPr>
        <color rgb="FF000000"/>
      </rPr>
      <t xml:space="preserve"> of benefit</t>
    </r>
  </si>
  <si>
    <t>Units outcome</t>
  </si>
  <si>
    <t>Unit</t>
  </si>
  <si>
    <t>Percent value</t>
  </si>
  <si>
    <t>Reciprocal of GW's moral weights for each benefit stream</t>
  </si>
  <si>
    <t>Consumption benefits</t>
  </si>
  <si>
    <t>consumption doublings / $1M</t>
  </si>
  <si>
    <t>lives saved / $M</t>
  </si>
  <si>
    <t>Morbidity benefits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</si>
</sst>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
    <numFmt numFmtId="165" formatCode="$#,##0&quot;M&quot;"/>
    <numFmt numFmtId="166" formatCode="0.0"/>
    <numFmt numFmtId="167" formatCode="0.0%"/>
    <numFmt numFmtId="168" formatCode="0.000"/>
    <numFmt numFmtId="169" formatCode="&quot;$&quot;#,##0.00"/>
  </numFmts>
  <fonts count="18">
    <font>
      <sz val="10.0"/>
      <color rgb="FF000000"/>
      <name val="Arial"/>
      <scheme val="minor"/>
    </font>
    <font>
      <b/>
      <color theme="1"/>
      <name val="Arial"/>
      <scheme val="minor"/>
    </font>
    <font>
      <color theme="1"/>
      <name val="Arial"/>
      <scheme val="minor"/>
    </font>
    <font>
      <u/>
      <color rgb="FF0000FF"/>
    </font>
    <font>
      <i/>
      <color theme="1"/>
      <name val="Arial"/>
      <scheme val="minor"/>
    </font>
    <font>
      <b/>
      <color rgb="FFFFFFFF"/>
      <name val="Arial"/>
    </font>
    <font>
      <color theme="1"/>
      <name val="Arial"/>
    </font>
    <font>
      <u/>
      <color rgb="FF0000FF"/>
    </font>
    <font>
      <u/>
      <color rgb="FF0000FF"/>
    </font>
    <font>
      <color rgb="FF000000"/>
      <name val="Arial"/>
      <scheme val="minor"/>
    </font>
    <font>
      <u/>
      <color rgb="FF0000FF"/>
    </font>
    <font>
      <u/>
      <color rgb="FF0000FF"/>
    </font>
    <font>
      <u/>
      <color rgb="FF0000FF"/>
    </font>
    <font>
      <i/>
      <sz val="11.0"/>
      <color theme="1"/>
      <name val="Calibri"/>
    </font>
    <font>
      <i/>
      <u/>
      <sz val="11.0"/>
      <color rgb="FF0000FF"/>
      <name val="Calibri"/>
    </font>
    <font>
      <sz val="11.0"/>
      <color theme="1"/>
      <name val="Calibri"/>
    </font>
    <font>
      <u/>
      <sz val="11.0"/>
      <color rgb="FF0000FF"/>
      <name val="Calibri"/>
    </font>
    <font>
      <sz val="11.0"/>
      <color rgb="FF000000"/>
      <name val="Calibri"/>
    </font>
  </fonts>
  <fills count="7">
    <fill>
      <patternFill patternType="none"/>
    </fill>
    <fill>
      <patternFill patternType="lightGray"/>
    </fill>
    <fill>
      <patternFill patternType="solid">
        <fgColor rgb="FFC9DAF8"/>
        <bgColor rgb="FFC9DAF8"/>
      </patternFill>
    </fill>
    <fill>
      <patternFill patternType="solid">
        <fgColor rgb="FFD9EAD3"/>
        <bgColor rgb="FFD9EAD3"/>
      </patternFill>
    </fill>
    <fill>
      <patternFill patternType="solid">
        <fgColor rgb="FF4472C4"/>
        <bgColor rgb="FF4472C4"/>
      </patternFill>
    </fill>
    <fill>
      <patternFill patternType="solid">
        <fgColor rgb="FF4A86E8"/>
        <bgColor rgb="FF4A86E8"/>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0" fillId="2" fontId="2" numFmtId="164" xfId="0" applyFill="1" applyFont="1" applyNumberFormat="1"/>
    <xf borderId="0" fillId="3" fontId="2" numFmtId="164" xfId="0" applyFill="1" applyFont="1" applyNumberFormat="1"/>
    <xf borderId="0" fillId="0" fontId="3" numFmtId="0" xfId="0" applyAlignment="1" applyFont="1">
      <alignment readingOrder="0"/>
    </xf>
    <xf borderId="0" fillId="0" fontId="2" numFmtId="164" xfId="0" applyFont="1" applyNumberFormat="1"/>
    <xf borderId="0" fillId="0" fontId="4" numFmtId="0" xfId="0" applyAlignment="1" applyFont="1">
      <alignment readingOrder="0"/>
    </xf>
    <xf borderId="1" fillId="4" fontId="5" numFmtId="0" xfId="0" applyAlignment="1" applyBorder="1" applyFill="1" applyFont="1">
      <alignment readingOrder="0" vertical="bottom"/>
    </xf>
    <xf borderId="1" fillId="4" fontId="5" numFmtId="165" xfId="0" applyAlignment="1" applyBorder="1" applyFont="1" applyNumberFormat="1">
      <alignment horizontal="center" vertical="bottom"/>
    </xf>
    <xf borderId="0" fillId="0" fontId="6" numFmtId="0" xfId="0" applyAlignment="1" applyFont="1">
      <alignment vertical="bottom"/>
    </xf>
    <xf borderId="0" fillId="0" fontId="2" numFmtId="10" xfId="0" applyFont="1" applyNumberFormat="1"/>
    <xf borderId="0" fillId="0" fontId="2" numFmtId="164" xfId="0" applyAlignment="1" applyFont="1" applyNumberFormat="1">
      <alignment readingOrder="0"/>
    </xf>
    <xf borderId="0" fillId="5" fontId="1" numFmtId="0" xfId="0" applyAlignment="1" applyFill="1" applyFont="1">
      <alignment readingOrder="0" shrinkToFit="0" wrapText="1"/>
    </xf>
    <xf borderId="0" fillId="5" fontId="2" numFmtId="0" xfId="0" applyAlignment="1" applyFont="1">
      <alignment readingOrder="0" shrinkToFit="0" wrapText="1"/>
    </xf>
    <xf borderId="0" fillId="5" fontId="2" numFmtId="0" xfId="0" applyAlignment="1" applyFont="1">
      <alignment shrinkToFit="0" wrapText="1"/>
    </xf>
    <xf borderId="0" fillId="2" fontId="2" numFmtId="0" xfId="0" applyAlignment="1" applyFont="1">
      <alignment readingOrder="0" shrinkToFit="0" wrapText="1"/>
    </xf>
    <xf borderId="0" fillId="2" fontId="2" numFmtId="0" xfId="0" applyAlignment="1" applyFont="1">
      <alignment shrinkToFit="0" wrapText="1"/>
    </xf>
    <xf borderId="0" fillId="0" fontId="2" numFmtId="2" xfId="0" applyAlignment="1" applyFont="1" applyNumberFormat="1">
      <alignment shrinkToFit="0" wrapText="1"/>
    </xf>
    <xf borderId="0" fillId="0" fontId="2" numFmtId="0" xfId="0" applyAlignment="1" applyFont="1">
      <alignment shrinkToFit="0" wrapText="1"/>
    </xf>
    <xf borderId="0" fillId="6" fontId="2" numFmtId="0" xfId="0" applyAlignment="1" applyFill="1" applyFont="1">
      <alignment readingOrder="0" shrinkToFit="0" wrapText="1"/>
    </xf>
    <xf borderId="0" fillId="3" fontId="2" numFmtId="0" xfId="0" applyAlignment="1" applyFont="1">
      <alignment readingOrder="0" shrinkToFit="0" wrapText="1"/>
    </xf>
    <xf borderId="0" fillId="0" fontId="2" numFmtId="166" xfId="0" applyAlignment="1" applyFont="1" applyNumberFormat="1">
      <alignment shrinkToFit="0" wrapText="1"/>
    </xf>
    <xf borderId="0" fillId="0" fontId="2" numFmtId="166" xfId="0" applyAlignment="1" applyFont="1" applyNumberFormat="1">
      <alignment readingOrder="0" shrinkToFit="0" wrapText="1"/>
    </xf>
    <xf borderId="0" fillId="3" fontId="2" numFmtId="167" xfId="0" applyAlignment="1" applyFont="1" applyNumberFormat="1">
      <alignment readingOrder="0" shrinkToFit="0" wrapText="1"/>
    </xf>
    <xf borderId="0" fillId="3" fontId="2" numFmtId="166" xfId="0" applyAlignment="1" applyFont="1" applyNumberFormat="1">
      <alignment readingOrder="0" shrinkToFit="0" wrapText="1"/>
    </xf>
    <xf borderId="0" fillId="2" fontId="7" numFmtId="0" xfId="0" applyAlignment="1" applyFont="1">
      <alignment readingOrder="0" shrinkToFit="0" wrapText="1"/>
    </xf>
    <xf borderId="0" fillId="0" fontId="1" numFmtId="0" xfId="0" applyAlignment="1" applyFont="1">
      <alignment readingOrder="0" shrinkToFit="0" wrapText="1"/>
    </xf>
    <xf borderId="0" fillId="0" fontId="8" numFmtId="0" xfId="0" applyAlignment="1" applyFont="1">
      <alignment readingOrder="0" shrinkToFit="0" wrapText="1"/>
    </xf>
    <xf borderId="0" fillId="6" fontId="9" numFmtId="0" xfId="0" applyAlignment="1" applyFont="1">
      <alignment readingOrder="0" shrinkToFit="0" wrapText="1"/>
    </xf>
    <xf borderId="0" fillId="3" fontId="2" numFmtId="1" xfId="0" applyAlignment="1" applyFont="1" applyNumberFormat="1">
      <alignment shrinkToFit="0" wrapText="1"/>
    </xf>
    <xf borderId="0" fillId="3" fontId="2" numFmtId="0" xfId="0" applyAlignment="1" applyFont="1">
      <alignment shrinkToFit="0" wrapText="1"/>
    </xf>
    <xf borderId="0" fillId="6" fontId="2" numFmtId="168" xfId="0" applyAlignment="1" applyFont="1" applyNumberFormat="1">
      <alignment readingOrder="0" shrinkToFit="0" wrapText="1"/>
    </xf>
    <xf borderId="0" fillId="6" fontId="2" numFmtId="168" xfId="0" applyAlignment="1" applyFont="1" applyNumberFormat="1">
      <alignment shrinkToFit="0" wrapText="1"/>
    </xf>
    <xf borderId="0" fillId="0" fontId="2" numFmtId="0" xfId="0" applyAlignment="1" applyFont="1">
      <alignment readingOrder="0" shrinkToFit="0" wrapText="1"/>
    </xf>
    <xf borderId="0" fillId="0" fontId="10" numFmtId="167" xfId="0" applyAlignment="1" applyFont="1" applyNumberFormat="1">
      <alignment readingOrder="0" shrinkToFit="0" wrapText="1"/>
    </xf>
    <xf borderId="0" fillId="2" fontId="2" numFmtId="167" xfId="0" applyAlignment="1" applyFont="1" applyNumberFormat="1">
      <alignment readingOrder="0" shrinkToFit="0" wrapText="0"/>
    </xf>
    <xf borderId="0" fillId="2" fontId="2" numFmtId="167" xfId="0" applyAlignment="1" applyFont="1" applyNumberFormat="1">
      <alignment readingOrder="0" shrinkToFit="0" wrapText="0"/>
    </xf>
    <xf borderId="0" fillId="2" fontId="2" numFmtId="167" xfId="0" applyAlignment="1" applyFont="1" applyNumberFormat="1">
      <alignment shrinkToFit="0" wrapText="0"/>
    </xf>
    <xf borderId="0" fillId="3" fontId="2" numFmtId="167" xfId="0" applyAlignment="1" applyFont="1" applyNumberFormat="1">
      <alignment shrinkToFit="0" wrapText="0"/>
    </xf>
    <xf borderId="0" fillId="2" fontId="11" numFmtId="4" xfId="0" applyAlignment="1" applyFont="1" applyNumberFormat="1">
      <alignment readingOrder="0" shrinkToFit="0" wrapText="0"/>
    </xf>
    <xf borderId="0" fillId="0" fontId="2" numFmtId="167" xfId="0" applyAlignment="1" applyFont="1" applyNumberFormat="1">
      <alignment shrinkToFit="0" wrapText="1"/>
    </xf>
    <xf borderId="0" fillId="2" fontId="2" numFmtId="167" xfId="0" applyAlignment="1" applyFont="1" applyNumberFormat="1">
      <alignment readingOrder="0" shrinkToFit="0" wrapText="0"/>
    </xf>
    <xf borderId="0" fillId="2" fontId="12" numFmtId="167" xfId="0" applyAlignment="1" applyFont="1" applyNumberFormat="1">
      <alignment readingOrder="0" shrinkToFit="0" wrapText="0"/>
    </xf>
    <xf borderId="0" fillId="0" fontId="2" numFmtId="167" xfId="0" applyAlignment="1" applyFont="1" applyNumberFormat="1">
      <alignment shrinkToFit="0" wrapText="0"/>
    </xf>
    <xf borderId="0" fillId="0" fontId="2" numFmtId="167" xfId="0" applyAlignment="1" applyFont="1" applyNumberFormat="1">
      <alignment readingOrder="0" shrinkToFit="0" wrapText="1"/>
    </xf>
    <xf borderId="0" fillId="2" fontId="2" numFmtId="0" xfId="0" applyAlignment="1" applyFont="1">
      <alignment readingOrder="0" shrinkToFit="0" wrapText="0"/>
    </xf>
    <xf borderId="0" fillId="0" fontId="2" numFmtId="0" xfId="0" applyAlignment="1" applyFont="1">
      <alignment shrinkToFit="0" wrapText="0"/>
    </xf>
    <xf borderId="0" fillId="0" fontId="2" numFmtId="0" xfId="0" applyAlignment="1" applyFont="1">
      <alignment readingOrder="0"/>
    </xf>
    <xf borderId="0" fillId="0" fontId="13" numFmtId="0" xfId="0" applyAlignment="1" applyFont="1">
      <alignment readingOrder="0" shrinkToFit="0" vertical="bottom" wrapText="1"/>
    </xf>
    <xf borderId="0" fillId="3" fontId="2" numFmtId="166" xfId="0" applyAlignment="1" applyFont="1" applyNumberFormat="1">
      <alignment readingOrder="0"/>
    </xf>
    <xf borderId="0" fillId="0" fontId="13" numFmtId="0" xfId="0" applyAlignment="1" applyFont="1">
      <alignment readingOrder="0" vertical="bottom"/>
    </xf>
    <xf borderId="0" fillId="2" fontId="2" numFmtId="166" xfId="0" applyAlignment="1" applyFont="1" applyNumberFormat="1">
      <alignment readingOrder="0"/>
    </xf>
    <xf borderId="0" fillId="0" fontId="14" numFmtId="0" xfId="0" applyAlignment="1" applyFont="1">
      <alignment readingOrder="0" vertical="bottom"/>
    </xf>
    <xf borderId="0" fillId="0" fontId="15" numFmtId="0" xfId="0" applyAlignment="1" applyFont="1">
      <alignment readingOrder="0" vertical="bottom"/>
    </xf>
    <xf borderId="0" fillId="2" fontId="2" numFmtId="169" xfId="0" applyAlignment="1" applyFont="1" applyNumberFormat="1">
      <alignment readingOrder="0"/>
    </xf>
    <xf borderId="0" fillId="0" fontId="2" numFmtId="169" xfId="0" applyAlignment="1" applyFont="1" applyNumberFormat="1">
      <alignment readingOrder="0"/>
    </xf>
    <xf borderId="0" fillId="0" fontId="2" numFmtId="3" xfId="0" applyAlignment="1" applyFont="1" applyNumberFormat="1">
      <alignment readingOrder="0"/>
    </xf>
    <xf borderId="0" fillId="0" fontId="16" numFmtId="0" xfId="0" applyAlignment="1" applyFont="1">
      <alignment readingOrder="0" vertical="bottom"/>
    </xf>
    <xf borderId="0" fillId="2" fontId="17" numFmtId="9" xfId="0" applyAlignment="1" applyFont="1" applyNumberFormat="1">
      <alignment horizontal="center" readingOrder="0" vertical="bottom"/>
    </xf>
    <xf borderId="0" fillId="0" fontId="15" numFmtId="0" xfId="0" applyAlignment="1" applyFont="1">
      <alignment vertical="bottom"/>
    </xf>
    <xf borderId="0" fillId="2" fontId="2" numFmtId="3" xfId="0" applyAlignment="1" applyFont="1" applyNumberFormat="1">
      <alignment readingOrder="0"/>
    </xf>
    <xf borderId="0" fillId="2" fontId="2" numFmtId="0" xfId="0" applyAlignment="1" applyFont="1">
      <alignment readingOrder="0"/>
    </xf>
    <xf borderId="0" fillId="3" fontId="2" numFmtId="3" xfId="0" applyFont="1" applyNumberFormat="1"/>
    <xf borderId="0" fillId="3" fontId="2" numFmtId="3" xfId="0" applyAlignment="1" applyFont="1" applyNumberFormat="1">
      <alignment readingOrder="0"/>
    </xf>
    <xf borderId="0" fillId="2" fontId="2" numFmtId="9" xfId="0" applyAlignment="1" applyFont="1" applyNumberFormat="1">
      <alignment readingOrder="0"/>
    </xf>
    <xf borderId="0" fillId="3" fontId="2" numFmtId="9" xfId="0" applyFont="1" applyNumberFormat="1"/>
    <xf borderId="0" fillId="3" fontId="2" numFmtId="10" xfId="0" applyFont="1" applyNumberFormat="1"/>
    <xf borderId="0" fillId="0" fontId="2" numFmtId="1" xfId="0" applyFont="1" applyNumberFormat="1"/>
    <xf borderId="0" fillId="3" fontId="2" numFmtId="1" xfId="0" applyFont="1" applyNumberFormat="1"/>
    <xf borderId="0" fillId="2" fontId="2" numFmtId="168" xfId="0" applyAlignment="1" applyFont="1" applyNumberFormat="1">
      <alignment readingOrder="0"/>
    </xf>
    <xf borderId="0" fillId="3" fontId="2" numFmtId="166" xfId="0" applyFont="1" applyNumberFormat="1"/>
    <xf borderId="0" fillId="2" fontId="2" numFmtId="168"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log.givewell.org/2025/08/13/givewells-2024-metrics-and-impact/" TargetMode="External"/><Relationship Id="rId2" Type="http://schemas.openxmlformats.org/officeDocument/2006/relationships/hyperlink" Target="https://blog.givewell.org/2022/07/05/update-on-givewells-funding-projections/"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givewell.org/how-we-work/our-criteria/cost-effectiveness/moral-weights" TargetMode="External"/><Relationship Id="rId3" Type="http://schemas.openxmlformats.org/officeDocument/2006/relationships/hyperlink" Target="https://www.givewell.org/how-we-work/our-criteria/cost-effectiveness/moral-weights" TargetMode="External"/><Relationship Id="rId4" Type="http://schemas.openxmlformats.org/officeDocument/2006/relationships/hyperlink" Target="https://blog.givewell.org/wp-content/uploads/2026/02/Cost-Effectiveness-Comparison-MY2025-Blog-Post-Chart-1.png" TargetMode="External"/><Relationship Id="rId9" Type="http://schemas.openxmlformats.org/officeDocument/2006/relationships/vmlDrawing" Target="../drawings/vmlDrawing1.vml"/><Relationship Id="rId5" Type="http://schemas.openxmlformats.org/officeDocument/2006/relationships/hyperlink" Target="https://www.getguesstimate.com/models/26594" TargetMode="External"/><Relationship Id="rId6" Type="http://schemas.openxmlformats.org/officeDocument/2006/relationships/hyperlink" Target="https://www.getguesstimate.com/models/26594" TargetMode="External"/><Relationship Id="rId7" Type="http://schemas.openxmlformats.org/officeDocument/2006/relationships/hyperlink" Target="https://blog.givewell.org/2026/02/26/givewells-2025-grantmaking-record-grants-expanded-reach-crisis-response/"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spreadsheets/d/1sppKf7uwBLR2FsH6jCjmTynmlKd2q-p4rt5N7MYssKk/edit?gid=2134466703" TargetMode="External"/><Relationship Id="rId22" Type="http://schemas.openxmlformats.org/officeDocument/2006/relationships/hyperlink" Target="https://docs.google.com/spreadsheets/d/1NcR1RR3WyCqSjbqgPHuafNXtm4hSeIz66eZlX69k_80/edit?gid=0" TargetMode="External"/><Relationship Id="rId21" Type="http://schemas.openxmlformats.org/officeDocument/2006/relationships/hyperlink" Target="https://docs.google.com/spreadsheets/d/1sppKf7uwBLR2FsH6jCjmTynmlKd2q-p4rt5N7MYssKk/edit?gid=2134466703" TargetMode="External"/><Relationship Id="rId24" Type="http://schemas.openxmlformats.org/officeDocument/2006/relationships/hyperlink" Target="https://docs.google.com/spreadsheets/d/1NcR1RR3WyCqSjbqgPHuafNXtm4hSeIz66eZlX69k_80/edit?gid=1266854728" TargetMode="External"/><Relationship Id="rId23" Type="http://schemas.openxmlformats.org/officeDocument/2006/relationships/hyperlink" Target="https://docs.google.com/spreadsheets/d/1NcR1RR3WyCqSjbqgPHuafNXtm4hSeIz66eZlX69k_80/edit?gid=1266854728" TargetMode="External"/><Relationship Id="rId1" Type="http://schemas.openxmlformats.org/officeDocument/2006/relationships/hyperlink" Target="https://blog.givewell.org/wp-content/uploads/2026/02/Copy-of-Funding-Category-Comparison-MY2025-Blog-Post-Chart.png" TargetMode="External"/><Relationship Id="rId2" Type="http://schemas.openxmlformats.org/officeDocument/2006/relationships/hyperlink" Target="https://www.givewell.org/international/technical/programs/insecticide-treated-nets" TargetMode="External"/><Relationship Id="rId3" Type="http://schemas.openxmlformats.org/officeDocument/2006/relationships/hyperlink" Target="https://www.givewell.org/international/technical/programs/insecticide-treated-nets" TargetMode="External"/><Relationship Id="rId4" Type="http://schemas.openxmlformats.org/officeDocument/2006/relationships/hyperlink" Target="https://docs.google.com/spreadsheets/d/1VEtie59TgRvZSEVjfG7qcKBKcQyJn8zO91Lau9YNqXc/edit?gid=1266854728" TargetMode="External"/><Relationship Id="rId9" Type="http://schemas.openxmlformats.org/officeDocument/2006/relationships/hyperlink" Target="https://docs.google.com/spreadsheets/d/1dKxW_Trv0I7WWVA50Duw0uRVv147wctLGyXj-26FEk0/edit?gid=1266854728" TargetMode="External"/><Relationship Id="rId26" Type="http://schemas.openxmlformats.org/officeDocument/2006/relationships/hyperlink" Target="https://docs.google.com/spreadsheets/d/1NcR1RR3WyCqSjbqgPHuafNXtm4hSeIz66eZlX69k_80/edit?gid=1266854728" TargetMode="External"/><Relationship Id="rId25" Type="http://schemas.openxmlformats.org/officeDocument/2006/relationships/hyperlink" Target="https://docs.google.com/spreadsheets/d/1NcR1RR3WyCqSjbqgPHuafNXtm4hSeIz66eZlX69k_80/edit?gid=1266854728" TargetMode="External"/><Relationship Id="rId28" Type="http://schemas.openxmlformats.org/officeDocument/2006/relationships/hyperlink" Target="https://docs.google.com/spreadsheets/d/1hCNU1us4gavfFUduatVFr2u20V7YxMDdnc8ty9lTeRM/edit?gid=941486089" TargetMode="External"/><Relationship Id="rId27" Type="http://schemas.openxmlformats.org/officeDocument/2006/relationships/hyperlink" Target="https://docs.google.com/spreadsheets/d/1hCNU1us4gavfFUduatVFr2u20V7YxMDdnc8ty9lTeRM/edit?gid=941486089" TargetMode="External"/><Relationship Id="rId5" Type="http://schemas.openxmlformats.org/officeDocument/2006/relationships/hyperlink" Target="https://www.givewell.org/international/technical/programs/insecticide-treated-nets" TargetMode="External"/><Relationship Id="rId6" Type="http://schemas.openxmlformats.org/officeDocument/2006/relationships/hyperlink" Target="https://www.givewell.org/international/technical/programs/insecticide-treated-nets" TargetMode="External"/><Relationship Id="rId29" Type="http://schemas.openxmlformats.org/officeDocument/2006/relationships/hyperlink" Target="https://docs.google.com/spreadsheets/d/1LqkkwWCud9qGjSJmw9re6DIm5ocpPOaqOJ-KIEVLppk/edit?gid=1755045987" TargetMode="External"/><Relationship Id="rId7" Type="http://schemas.openxmlformats.org/officeDocument/2006/relationships/hyperlink" Target="https://www.givewell.org/research/grants/new-incentives-extension-of-support-in-northern-nigeria-march-2025" TargetMode="External"/><Relationship Id="rId8" Type="http://schemas.openxmlformats.org/officeDocument/2006/relationships/hyperlink" Target="https://www.givewell.org/research/grants/new-incentives-extension-of-support-in-northern-nigeria-march-2025" TargetMode="External"/><Relationship Id="rId31" Type="http://schemas.openxmlformats.org/officeDocument/2006/relationships/hyperlink" Target="https://docs.google.com/spreadsheets/d/1LqkkwWCud9qGjSJmw9re6DIm5ocpPOaqOJ-KIEVLppk/edit?gid=1755045987" TargetMode="External"/><Relationship Id="rId30" Type="http://schemas.openxmlformats.org/officeDocument/2006/relationships/hyperlink" Target="https://docs.google.com/spreadsheets/d/1hCNU1us4gavfFUduatVFr2u20V7YxMDdnc8ty9lTeRM/edit?gid=941486089" TargetMode="External"/><Relationship Id="rId11" Type="http://schemas.openxmlformats.org/officeDocument/2006/relationships/hyperlink" Target="https://docs.google.com/spreadsheets/d/1dKxW_Trv0I7WWVA50Duw0uRVv147wctLGyXj-26FEk0/edit?gid=1266854728" TargetMode="External"/><Relationship Id="rId33" Type="http://schemas.openxmlformats.org/officeDocument/2006/relationships/hyperlink" Target="https://docs.google.com/spreadsheets/d/1-wJwHvqgIZIlXHx-bgSmEuX5ITV4OOxCdYZkrXpndtc/edit?gid=628925140" TargetMode="External"/><Relationship Id="rId10" Type="http://schemas.openxmlformats.org/officeDocument/2006/relationships/hyperlink" Target="https://docs.google.com/spreadsheets/d/1dKxW_Trv0I7WWVA50Duw0uRVv147wctLGyXj-26FEk0/edit?gid=1266854728" TargetMode="External"/><Relationship Id="rId32" Type="http://schemas.openxmlformats.org/officeDocument/2006/relationships/hyperlink" Target="https://docs.google.com/spreadsheets/d/1LqkkwWCud9qGjSJmw9re6DIm5ocpPOaqOJ-KIEVLppk/edit?gid=1755045987" TargetMode="External"/><Relationship Id="rId13" Type="http://schemas.openxmlformats.org/officeDocument/2006/relationships/hyperlink" Target="https://docs.google.com/spreadsheets/d/1O6V1IUGmZhSfVM0y215uJkB-_CT7pUsa9CSIdGL3fK8/edit?gid=247698718" TargetMode="External"/><Relationship Id="rId12" Type="http://schemas.openxmlformats.org/officeDocument/2006/relationships/hyperlink" Target="https://docs.google.com/spreadsheets/d/1O6V1IUGmZhSfVM0y215uJkB-_CT7pUsa9CSIdGL3fK8/edit?usp=sharing" TargetMode="External"/><Relationship Id="rId34" Type="http://schemas.openxmlformats.org/officeDocument/2006/relationships/drawing" Target="../drawings/drawing4.xml"/><Relationship Id="rId15" Type="http://schemas.openxmlformats.org/officeDocument/2006/relationships/hyperlink" Target="https://docs.google.com/spreadsheets/d/1O6V1IUGmZhSfVM0y215uJkB-_CT7pUsa9CSIdGL3fK8/edit?gid=1924307794" TargetMode="External"/><Relationship Id="rId14" Type="http://schemas.openxmlformats.org/officeDocument/2006/relationships/hyperlink" Target="https://docs.google.com/spreadsheets/d/1O6V1IUGmZhSfVM0y215uJkB-_CT7pUsa9CSIdGL3fK8/edit?gid=42809307" TargetMode="External"/><Relationship Id="rId17" Type="http://schemas.openxmlformats.org/officeDocument/2006/relationships/hyperlink" Target="https://docs.google.com/spreadsheets/d/1sppKf7uwBLR2FsH6jCjmTynmlKd2q-p4rt5N7MYssKk/edit?gid=2134466703" TargetMode="External"/><Relationship Id="rId16" Type="http://schemas.openxmlformats.org/officeDocument/2006/relationships/hyperlink" Target="https://docs.google.com/spreadsheets/d/1O6V1IUGmZhSfVM0y215uJkB-_CT7pUsa9CSIdGL3fK8/edit?gid=1924307794" TargetMode="External"/><Relationship Id="rId19" Type="http://schemas.openxmlformats.org/officeDocument/2006/relationships/hyperlink" Target="https://docs.google.com/spreadsheets/d/1sppKf7uwBLR2FsH6jCjmTynmlKd2q-p4rt5N7MYssKk/edit?gid=2134466703" TargetMode="External"/><Relationship Id="rId18" Type="http://schemas.openxmlformats.org/officeDocument/2006/relationships/hyperlink" Target="https://docs.google.com/spreadsheets/d/1sppKf7uwBLR2FsH6jCjmTynmlKd2q-p4rt5N7MYssKk/edit?gid=213446670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LqkkwWCud9qGjSJmw9re6DIm5ocpPOaqOJ-KIEVLppk/edit?gid=1755045987" TargetMode="External"/><Relationship Id="rId2" Type="http://schemas.openxmlformats.org/officeDocument/2006/relationships/hyperlink" Target="https://docs.google.com/spreadsheets/d/1LqkkwWCud9qGjSJmw9re6DIm5ocpPOaqOJ-KIEVLppk/edit?gid=1755045987" TargetMode="External"/><Relationship Id="rId3" Type="http://schemas.openxmlformats.org/officeDocument/2006/relationships/hyperlink" Target="https://docs.google.com/spreadsheets/d/1LqkkwWCud9qGjSJmw9re6DIm5ocpPOaqOJ-KIEVLppk/edit?gid=1755045987" TargetMode="External"/><Relationship Id="rId4" Type="http://schemas.openxmlformats.org/officeDocument/2006/relationships/hyperlink" Target="https://www.givewell.org/international/technical/programs/givedirectly-cash-for-poverty-relief-program" TargetMode="External"/><Relationship Id="rId5" Type="http://schemas.openxmlformats.org/officeDocument/2006/relationships/hyperlink" Target="https://docs.google.com/spreadsheets/d/1LqkkwWCud9qGjSJmw9re6DIm5ocpPOaqOJ-KIEVLppk/edit?gid=1755045987" TargetMode="External"/><Relationship Id="rId6" Type="http://schemas.openxmlformats.org/officeDocument/2006/relationships/hyperlink" Target="https://docs.google.com/spreadsheets/d/1LqkkwWCud9qGjSJmw9re6DIm5ocpPOaqOJ-KIEVLppk/edit?gid=1755045987" TargetMode="External"/><Relationship Id="rId7" Type="http://schemas.openxmlformats.org/officeDocument/2006/relationships/hyperlink" Target="https://docs.google.com/spreadsheets/d/1LqkkwWCud9qGjSJmw9re6DIm5ocpPOaqOJ-KIEVLppk/edit?gid=1755045987" TargetMode="External"/><Relationship Id="rId8"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9.25"/>
  </cols>
  <sheetData>
    <row r="1">
      <c r="A1" s="1" t="s">
        <v>0</v>
      </c>
      <c r="B1" s="2" t="s">
        <v>1</v>
      </c>
      <c r="C1" s="2" t="s">
        <v>2</v>
      </c>
      <c r="D1" s="2" t="s">
        <v>3</v>
      </c>
      <c r="G1" s="3" t="s">
        <v>4</v>
      </c>
    </row>
    <row r="2">
      <c r="A2" s="3">
        <v>2024.0</v>
      </c>
      <c r="B2" s="4">
        <f>3.97*10^8</f>
        <v>397000000</v>
      </c>
      <c r="C2" s="4">
        <f t="shared" ref="C2:C4" si="1">B2</f>
        <v>397000000</v>
      </c>
      <c r="D2" s="5">
        <f t="shared" ref="D2:D6" si="2">AVERAGE(B2:C2)</f>
        <v>397000000</v>
      </c>
      <c r="G2" s="6" t="s">
        <v>5</v>
      </c>
    </row>
    <row r="3">
      <c r="A3" s="3">
        <v>2025.0</v>
      </c>
      <c r="B3" s="4">
        <f>4.18*10^8</f>
        <v>418000000</v>
      </c>
      <c r="C3" s="4">
        <f t="shared" si="1"/>
        <v>418000000</v>
      </c>
      <c r="D3" s="5">
        <f t="shared" si="2"/>
        <v>418000000</v>
      </c>
      <c r="G3" s="3" t="s">
        <v>6</v>
      </c>
    </row>
    <row r="4">
      <c r="A4" s="3">
        <v>2026.0</v>
      </c>
      <c r="B4" s="4">
        <f>5*10^8</f>
        <v>500000000</v>
      </c>
      <c r="C4" s="5">
        <f t="shared" si="1"/>
        <v>500000000</v>
      </c>
      <c r="D4" s="5">
        <f t="shared" si="2"/>
        <v>500000000</v>
      </c>
      <c r="G4" s="3" t="s">
        <v>7</v>
      </c>
    </row>
    <row r="5">
      <c r="A5" s="3">
        <v>2027.0</v>
      </c>
      <c r="B5" s="5">
        <f t="shared" ref="B5:B6" si="3">(($B$4-$B$2)/($A$4-$A$2))*(A5-$A$4) + $B$4</f>
        <v>551500000</v>
      </c>
      <c r="C5" s="5">
        <f t="shared" ref="C5:C6" si="4">C4</f>
        <v>500000000</v>
      </c>
      <c r="D5" s="5">
        <f t="shared" si="2"/>
        <v>525750000</v>
      </c>
      <c r="G5" s="3" t="s">
        <v>8</v>
      </c>
    </row>
    <row r="6">
      <c r="A6" s="3">
        <v>2028.0</v>
      </c>
      <c r="B6" s="5">
        <f t="shared" si="3"/>
        <v>603000000</v>
      </c>
      <c r="C6" s="5">
        <f t="shared" si="4"/>
        <v>500000000</v>
      </c>
      <c r="D6" s="5">
        <f t="shared" si="2"/>
        <v>551500000</v>
      </c>
    </row>
    <row r="7">
      <c r="A7" s="3" t="s">
        <v>9</v>
      </c>
      <c r="B7" s="7">
        <f t="shared" ref="B7:D7" si="5">SUM(B4:B6)</f>
        <v>1654500000</v>
      </c>
      <c r="C7" s="7">
        <f t="shared" si="5"/>
        <v>1500000000</v>
      </c>
      <c r="D7" s="7">
        <f t="shared" si="5"/>
        <v>1577250000</v>
      </c>
    </row>
    <row r="9">
      <c r="A9" s="1" t="s">
        <v>10</v>
      </c>
    </row>
    <row r="10">
      <c r="A10" s="3" t="s">
        <v>11</v>
      </c>
      <c r="B10" s="3">
        <f>ln(0.9)/ln(1/2)</f>
        <v>0.1520030934</v>
      </c>
      <c r="C10" s="3" t="s">
        <v>12</v>
      </c>
      <c r="G10" s="6" t="s">
        <v>13</v>
      </c>
    </row>
    <row r="12">
      <c r="A12" s="8" t="s">
        <v>14</v>
      </c>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row>
    <row r="13">
      <c r="A13" s="3" t="s">
        <v>15</v>
      </c>
      <c r="B13" s="7">
        <f t="array" ref="B13:CN13">TRANSPOSE(A19:A109)</f>
        <v>10000000</v>
      </c>
      <c r="C13" s="7">
        <v>2.0E7</v>
      </c>
      <c r="D13" s="7">
        <v>3.0E7</v>
      </c>
      <c r="E13" s="7">
        <v>4.0E7</v>
      </c>
      <c r="F13" s="7">
        <v>5.0E7</v>
      </c>
      <c r="G13" s="7">
        <v>6.0E7</v>
      </c>
      <c r="H13" s="7">
        <v>7.0E7</v>
      </c>
      <c r="I13" s="7">
        <v>8.0E7</v>
      </c>
      <c r="J13" s="7">
        <v>9.0E7</v>
      </c>
      <c r="K13" s="7">
        <v>1.0E8</v>
      </c>
      <c r="L13" s="7">
        <v>1.1E8</v>
      </c>
      <c r="M13" s="7">
        <v>1.2E8</v>
      </c>
      <c r="N13" s="7">
        <v>1.3E8</v>
      </c>
      <c r="O13" s="7">
        <v>1.4E8</v>
      </c>
      <c r="P13" s="7">
        <v>1.5E8</v>
      </c>
      <c r="Q13" s="7">
        <v>1.6E8</v>
      </c>
      <c r="R13" s="7">
        <v>1.7E8</v>
      </c>
      <c r="S13" s="7">
        <v>1.8E8</v>
      </c>
      <c r="T13" s="7">
        <v>1.9E8</v>
      </c>
      <c r="U13" s="7">
        <v>2.0E8</v>
      </c>
      <c r="V13" s="7">
        <v>2.1E8</v>
      </c>
      <c r="W13" s="7">
        <v>2.2E8</v>
      </c>
      <c r="X13" s="7">
        <v>2.3E8</v>
      </c>
      <c r="Y13" s="7">
        <v>2.4E8</v>
      </c>
      <c r="Z13" s="7">
        <v>2.5E8</v>
      </c>
      <c r="AA13" s="7">
        <v>2.6E8</v>
      </c>
      <c r="AB13" s="7">
        <v>2.7E8</v>
      </c>
      <c r="AC13" s="7">
        <v>2.8E8</v>
      </c>
      <c r="AD13" s="7">
        <v>2.9E8</v>
      </c>
      <c r="AE13" s="7">
        <v>3.0E8</v>
      </c>
      <c r="AF13" s="7">
        <v>3.1E8</v>
      </c>
      <c r="AG13" s="7">
        <v>3.2E8</v>
      </c>
      <c r="AH13" s="7">
        <v>3.3E8</v>
      </c>
      <c r="AI13" s="7">
        <v>3.4E8</v>
      </c>
      <c r="AJ13" s="7">
        <v>3.5E8</v>
      </c>
      <c r="AK13" s="7">
        <v>3.6E8</v>
      </c>
      <c r="AL13" s="7">
        <v>3.7E8</v>
      </c>
      <c r="AM13" s="7">
        <v>3.8E8</v>
      </c>
      <c r="AN13" s="7">
        <v>3.9E8</v>
      </c>
      <c r="AO13" s="7">
        <v>4.0E8</v>
      </c>
      <c r="AP13" s="7">
        <v>4.1E8</v>
      </c>
      <c r="AQ13" s="7">
        <v>4.2E8</v>
      </c>
      <c r="AR13" s="7">
        <v>4.3E8</v>
      </c>
      <c r="AS13" s="7">
        <v>4.4E8</v>
      </c>
      <c r="AT13" s="7">
        <v>4.5E8</v>
      </c>
      <c r="AU13" s="7">
        <v>4.6E8</v>
      </c>
      <c r="AV13" s="7">
        <v>4.7E8</v>
      </c>
      <c r="AW13" s="7">
        <v>4.8E8</v>
      </c>
      <c r="AX13" s="7">
        <v>4.9E8</v>
      </c>
      <c r="AY13" s="7">
        <v>5.0E8</v>
      </c>
      <c r="AZ13" s="7">
        <v>5.1E8</v>
      </c>
      <c r="BA13" s="7">
        <v>5.2E8</v>
      </c>
      <c r="BB13" s="7">
        <v>5.3E8</v>
      </c>
      <c r="BC13" s="7">
        <v>5.4E8</v>
      </c>
      <c r="BD13" s="7">
        <v>5.5E8</v>
      </c>
      <c r="BE13" s="7">
        <v>5.6E8</v>
      </c>
      <c r="BF13" s="7">
        <v>5.7E8</v>
      </c>
      <c r="BG13" s="7">
        <v>5.8E8</v>
      </c>
      <c r="BH13" s="7">
        <v>5.9E8</v>
      </c>
      <c r="BI13" s="7">
        <v>6.0E8</v>
      </c>
      <c r="BJ13" s="7">
        <v>6.1E8</v>
      </c>
      <c r="BK13" s="7">
        <v>6.2E8</v>
      </c>
      <c r="BL13" s="7">
        <v>6.3E8</v>
      </c>
      <c r="BM13" s="7">
        <v>6.4E8</v>
      </c>
      <c r="BN13" s="7">
        <v>6.5E8</v>
      </c>
      <c r="BO13" s="7">
        <v>6.6E8</v>
      </c>
      <c r="BP13" s="7">
        <v>6.7E8</v>
      </c>
      <c r="BQ13" s="7">
        <v>6.8E8</v>
      </c>
      <c r="BR13" s="7">
        <v>6.9E8</v>
      </c>
      <c r="BS13" s="7">
        <v>7.0E8</v>
      </c>
      <c r="BT13" s="7">
        <v>7.1E8</v>
      </c>
      <c r="BU13" s="7">
        <v>7.2E8</v>
      </c>
      <c r="BV13" s="7">
        <v>7.3E8</v>
      </c>
      <c r="BW13" s="7">
        <v>7.4E8</v>
      </c>
      <c r="BX13" s="7">
        <v>7.5E8</v>
      </c>
      <c r="BY13" s="7">
        <v>7.6E8</v>
      </c>
      <c r="BZ13" s="7">
        <v>7.7E8</v>
      </c>
      <c r="CA13" s="7">
        <v>7.8E8</v>
      </c>
      <c r="CB13" s="7">
        <v>7.9E8</v>
      </c>
      <c r="CC13" s="7">
        <v>8.0E8</v>
      </c>
      <c r="CD13" s="7">
        <v>8.1E8</v>
      </c>
      <c r="CE13" s="7">
        <v>8.2E8</v>
      </c>
      <c r="CF13" s="7">
        <v>8.3E8</v>
      </c>
      <c r="CG13" s="7">
        <v>8.4E8</v>
      </c>
      <c r="CH13" s="7">
        <v>8.5E8</v>
      </c>
      <c r="CI13" s="7">
        <v>8.6E8</v>
      </c>
      <c r="CJ13" s="7">
        <v>8.7E8</v>
      </c>
      <c r="CK13" s="7">
        <v>8.8E8</v>
      </c>
      <c r="CL13" s="7">
        <v>8.9E8</v>
      </c>
      <c r="CM13" s="7">
        <v>9.0E8</v>
      </c>
      <c r="CN13" s="7"/>
      <c r="CO13" s="7"/>
      <c r="CP13" s="7"/>
      <c r="CQ13" s="7"/>
      <c r="CR13" s="7"/>
      <c r="CS13" s="7"/>
      <c r="CT13" s="7"/>
      <c r="CU13" s="7"/>
      <c r="CV13" s="7"/>
      <c r="CW13" s="7"/>
      <c r="CX13" s="7"/>
    </row>
    <row r="14">
      <c r="A14" s="9" t="s">
        <v>16</v>
      </c>
      <c r="B14" s="10">
        <v>10.0</v>
      </c>
      <c r="C14" s="10">
        <v>20.0</v>
      </c>
      <c r="D14" s="10">
        <v>30.0</v>
      </c>
      <c r="E14" s="10">
        <v>40.0</v>
      </c>
      <c r="F14" s="10">
        <v>50.0</v>
      </c>
      <c r="G14" s="10">
        <v>60.0</v>
      </c>
      <c r="H14" s="10">
        <v>70.0</v>
      </c>
      <c r="I14" s="10">
        <v>80.0</v>
      </c>
      <c r="J14" s="10">
        <v>90.0</v>
      </c>
      <c r="K14" s="10">
        <v>100.0</v>
      </c>
      <c r="L14" s="10">
        <v>110.0</v>
      </c>
      <c r="M14" s="10">
        <v>120.0</v>
      </c>
      <c r="N14" s="10">
        <v>130.0</v>
      </c>
      <c r="O14" s="10">
        <v>140.0</v>
      </c>
      <c r="P14" s="10">
        <v>150.0</v>
      </c>
      <c r="Q14" s="10">
        <v>160.0</v>
      </c>
      <c r="R14" s="10">
        <v>170.0</v>
      </c>
      <c r="S14" s="10">
        <v>180.0</v>
      </c>
      <c r="T14" s="10">
        <v>190.0</v>
      </c>
      <c r="U14" s="10">
        <v>200.0</v>
      </c>
      <c r="V14" s="10">
        <v>210.0</v>
      </c>
      <c r="W14" s="10">
        <v>220.0</v>
      </c>
      <c r="X14" s="10">
        <v>230.0</v>
      </c>
      <c r="Y14" s="10">
        <v>240.0</v>
      </c>
      <c r="Z14" s="10">
        <v>250.0</v>
      </c>
      <c r="AA14" s="10">
        <v>260.0</v>
      </c>
      <c r="AB14" s="10">
        <v>270.0</v>
      </c>
      <c r="AC14" s="10">
        <v>280.0</v>
      </c>
      <c r="AD14" s="10">
        <v>290.0</v>
      </c>
      <c r="AE14" s="10">
        <v>300.0</v>
      </c>
      <c r="AF14" s="10">
        <v>310.0</v>
      </c>
      <c r="AG14" s="10">
        <v>320.0</v>
      </c>
      <c r="AH14" s="10">
        <v>330.0</v>
      </c>
      <c r="AI14" s="10">
        <v>340.0</v>
      </c>
      <c r="AJ14" s="10">
        <v>350.0</v>
      </c>
      <c r="AK14" s="10">
        <v>360.0</v>
      </c>
      <c r="AL14" s="10">
        <v>370.0</v>
      </c>
      <c r="AM14" s="10">
        <v>380.0</v>
      </c>
      <c r="AN14" s="10">
        <v>390.0</v>
      </c>
      <c r="AO14" s="10">
        <v>400.0</v>
      </c>
      <c r="AP14" s="10">
        <v>410.0</v>
      </c>
      <c r="AQ14" s="10">
        <v>420.0</v>
      </c>
      <c r="AR14" s="10">
        <v>430.0</v>
      </c>
      <c r="AS14" s="10">
        <v>440.0</v>
      </c>
      <c r="AT14" s="10">
        <v>450.0</v>
      </c>
      <c r="AU14" s="10">
        <v>460.0</v>
      </c>
      <c r="AV14" s="10">
        <v>470.0</v>
      </c>
      <c r="AW14" s="10">
        <v>480.0</v>
      </c>
      <c r="AX14" s="10">
        <v>490.0</v>
      </c>
      <c r="AY14" s="10">
        <v>500.0</v>
      </c>
      <c r="AZ14" s="10">
        <v>510.0</v>
      </c>
      <c r="BA14" s="10">
        <v>520.0</v>
      </c>
      <c r="BB14" s="10">
        <v>530.0</v>
      </c>
      <c r="BC14" s="10">
        <v>540.0</v>
      </c>
      <c r="BD14" s="10">
        <v>550.0</v>
      </c>
      <c r="BE14" s="10">
        <v>560.0</v>
      </c>
      <c r="BF14" s="10">
        <v>570.0</v>
      </c>
      <c r="BG14" s="10">
        <v>580.0</v>
      </c>
      <c r="BH14" s="10">
        <v>590.0</v>
      </c>
      <c r="BI14" s="10">
        <v>600.0</v>
      </c>
      <c r="BJ14" s="10">
        <v>610.0</v>
      </c>
      <c r="BK14" s="10">
        <v>620.0</v>
      </c>
      <c r="BL14" s="10">
        <v>630.0</v>
      </c>
      <c r="BM14" s="10">
        <v>640.0</v>
      </c>
      <c r="BN14" s="10">
        <v>650.0</v>
      </c>
      <c r="BO14" s="10">
        <v>660.0</v>
      </c>
      <c r="BP14" s="10">
        <v>670.0</v>
      </c>
      <c r="BQ14" s="10">
        <v>680.0</v>
      </c>
      <c r="BR14" s="10">
        <v>690.0</v>
      </c>
      <c r="BS14" s="10">
        <v>700.0</v>
      </c>
      <c r="BT14" s="10">
        <v>710.0</v>
      </c>
      <c r="BU14" s="10">
        <v>720.0</v>
      </c>
      <c r="BV14" s="10">
        <v>730.0</v>
      </c>
      <c r="BW14" s="10">
        <v>740.0</v>
      </c>
      <c r="BX14" s="10">
        <v>750.0</v>
      </c>
      <c r="BY14" s="10">
        <v>760.0</v>
      </c>
      <c r="BZ14" s="10">
        <v>770.0</v>
      </c>
      <c r="CA14" s="10">
        <v>780.0</v>
      </c>
      <c r="CB14" s="10">
        <v>790.0</v>
      </c>
      <c r="CC14" s="10">
        <v>800.0</v>
      </c>
      <c r="CD14" s="10">
        <v>810.0</v>
      </c>
      <c r="CE14" s="10">
        <v>820.0</v>
      </c>
      <c r="CF14" s="10">
        <v>830.0</v>
      </c>
      <c r="CG14" s="10">
        <v>840.0</v>
      </c>
      <c r="CH14" s="10">
        <v>850.0</v>
      </c>
      <c r="CI14" s="10">
        <v>860.0</v>
      </c>
      <c r="CJ14" s="10">
        <v>870.0</v>
      </c>
      <c r="CK14" s="10">
        <v>880.0</v>
      </c>
      <c r="CL14" s="10">
        <v>890.0</v>
      </c>
      <c r="CM14" s="10">
        <v>900.0</v>
      </c>
      <c r="CN14" s="11"/>
      <c r="CO14" s="11"/>
      <c r="CP14" s="11"/>
      <c r="CQ14" s="11"/>
      <c r="CR14" s="11"/>
      <c r="CS14" s="11"/>
      <c r="CT14" s="11"/>
      <c r="CU14" s="11"/>
      <c r="CV14" s="11"/>
      <c r="CW14" s="11"/>
    </row>
    <row r="15">
      <c r="A15" s="3" t="s">
        <v>17</v>
      </c>
      <c r="B15" s="12">
        <f t="array" ref="B15:CN15">TRANSPOSE(B19:B109)</f>
        <v>1</v>
      </c>
      <c r="C15" s="12">
        <v>0.999039781264801</v>
      </c>
      <c r="D15" s="12">
        <v>0.9980865065010502</v>
      </c>
      <c r="E15" s="12">
        <v>0.9971400824867573</v>
      </c>
      <c r="F15" s="12">
        <v>0.9962004178216151</v>
      </c>
      <c r="G15" s="12">
        <v>0.9952674228803963</v>
      </c>
      <c r="H15" s="12">
        <v>0.9943410097678215</v>
      </c>
      <c r="I15" s="12">
        <v>0.9934210922748405</v>
      </c>
      <c r="J15" s="12">
        <v>0.9925075858362784</v>
      </c>
      <c r="K15" s="12">
        <v>0.9916004074897917</v>
      </c>
      <c r="L15" s="12">
        <v>0.9906994758360901</v>
      </c>
      <c r="M15" s="12">
        <v>0.989804711000375</v>
      </c>
      <c r="N15" s="12">
        <v>0.988916034594952</v>
      </c>
      <c r="O15" s="12">
        <v>0.9880333696829742</v>
      </c>
      <c r="P15" s="12">
        <v>0.9871566407432758</v>
      </c>
      <c r="Q15" s="12">
        <v>0.986285773636258</v>
      </c>
      <c r="R15" s="12">
        <v>0.985420695570788</v>
      </c>
      <c r="S15" s="12">
        <v>0.9845613350720773</v>
      </c>
      <c r="T15" s="12">
        <v>0.9837076219505035</v>
      </c>
      <c r="U15" s="12">
        <v>0.9828594872713439</v>
      </c>
      <c r="V15" s="12">
        <v>0.9820168633253872</v>
      </c>
      <c r="W15" s="12">
        <v>0.9811796836003964</v>
      </c>
      <c r="X15" s="12">
        <v>0.9803478827533901</v>
      </c>
      <c r="Y15" s="12">
        <v>0.9795213965837163</v>
      </c>
      <c r="Z15" s="12">
        <v>0.9787001620068915</v>
      </c>
      <c r="AA15" s="12">
        <v>0.9778841170291791</v>
      </c>
      <c r="AB15" s="12">
        <v>0.9770732007228827</v>
      </c>
      <c r="AC15" s="12">
        <v>0.9762673532023288</v>
      </c>
      <c r="AD15" s="12">
        <v>0.9754665156005192</v>
      </c>
      <c r="AE15" s="12">
        <v>0.9746706300464271</v>
      </c>
      <c r="AF15" s="12">
        <v>0.973879639642919</v>
      </c>
      <c r="AG15" s="12">
        <v>0.9730934884452808</v>
      </c>
      <c r="AH15" s="12">
        <v>0.9723121214403267</v>
      </c>
      <c r="AI15" s="12">
        <v>0.9715354845260761</v>
      </c>
      <c r="AJ15" s="12">
        <v>0.9707635244919756</v>
      </c>
      <c r="AK15" s="12">
        <v>0.9699961889996525</v>
      </c>
      <c r="AL15" s="12">
        <v>0.96923342656418</v>
      </c>
      <c r="AM15" s="12">
        <v>0.9684751865358405</v>
      </c>
      <c r="AN15" s="12">
        <v>0.9677214190823691</v>
      </c>
      <c r="AO15" s="12">
        <v>0.9669720751716626</v>
      </c>
      <c r="AP15" s="12">
        <v>0.9662271065549419</v>
      </c>
      <c r="AQ15" s="12">
        <v>0.9654864657503499</v>
      </c>
      <c r="AR15" s="12">
        <v>0.9647501060269743</v>
      </c>
      <c r="AS15" s="12">
        <v>0.9640179813892816</v>
      </c>
      <c r="AT15" s="12">
        <v>0.9632900465619488</v>
      </c>
      <c r="AU15" s="12">
        <v>0.9625662569750819</v>
      </c>
      <c r="AV15" s="12">
        <v>0.9618465687498089</v>
      </c>
      <c r="AW15" s="12">
        <v>0.9611309386842358</v>
      </c>
      <c r="AX15" s="12">
        <v>0.9604193242397558</v>
      </c>
      <c r="AY15" s="12">
        <v>0.9597116835276992</v>
      </c>
      <c r="AZ15" s="12">
        <v>0.9590079752963162</v>
      </c>
      <c r="BA15" s="12">
        <v>0.9583081589180816</v>
      </c>
      <c r="BB15" s="12">
        <v>0.9576121943773109</v>
      </c>
      <c r="BC15" s="12">
        <v>0.956920042258081</v>
      </c>
      <c r="BD15" s="12">
        <v>0.956231663732445</v>
      </c>
      <c r="BE15" s="12">
        <v>0.9555470205489325</v>
      </c>
      <c r="BF15" s="12">
        <v>0.9548660750213289</v>
      </c>
      <c r="BG15" s="12">
        <v>0.954188790017723</v>
      </c>
      <c r="BH15" s="12">
        <v>0.9535151289498179</v>
      </c>
      <c r="BI15" s="12">
        <v>0.9528450557624952</v>
      </c>
      <c r="BJ15" s="12">
        <v>0.9521785349236285</v>
      </c>
      <c r="BK15" s="12">
        <v>0.9515155314141351</v>
      </c>
      <c r="BL15" s="12">
        <v>0.9508560107182634</v>
      </c>
      <c r="BM15" s="12">
        <v>0.9501999388141061</v>
      </c>
      <c r="BN15" s="12">
        <v>0.9495472821643348</v>
      </c>
      <c r="BO15" s="12">
        <v>0.9488980077071494</v>
      </c>
      <c r="BP15" s="12">
        <v>0.9482520828474358</v>
      </c>
      <c r="BQ15" s="12">
        <v>0.9476094754481277</v>
      </c>
      <c r="BR15" s="12">
        <v>0.9469701538217647</v>
      </c>
      <c r="BS15" s="12">
        <v>0.9463340867222438</v>
      </c>
      <c r="BT15" s="12">
        <v>0.9457012433367569</v>
      </c>
      <c r="BU15" s="12">
        <v>0.9450715932779101</v>
      </c>
      <c r="BV15" s="12">
        <v>0.9444451065760219</v>
      </c>
      <c r="BW15" s="12">
        <v>0.9438217536715913</v>
      </c>
      <c r="BX15" s="12">
        <v>0.9432015054079349</v>
      </c>
      <c r="BY15" s="12">
        <v>0.9425843330239877</v>
      </c>
      <c r="BZ15" s="12">
        <v>0.9419702081472615</v>
      </c>
      <c r="CA15" s="12">
        <v>0.9413591027869598</v>
      </c>
      <c r="CB15" s="12">
        <v>0.9407509893272418</v>
      </c>
      <c r="CC15" s="12">
        <v>0.9401458405206349</v>
      </c>
      <c r="CD15" s="12">
        <v>0.9395436294815886</v>
      </c>
      <c r="CE15" s="12">
        <v>0.9389443296801694</v>
      </c>
      <c r="CF15" s="12">
        <v>0.9383479149358895</v>
      </c>
      <c r="CG15" s="12">
        <v>0.9377543594116704</v>
      </c>
      <c r="CH15" s="12">
        <v>0.9371636376079323</v>
      </c>
      <c r="CI15" s="12">
        <v>0.936575724356812</v>
      </c>
      <c r="CJ15" s="12">
        <v>0.9359905948165017</v>
      </c>
      <c r="CK15" s="12">
        <v>0.9354082244657069</v>
      </c>
      <c r="CL15" s="12">
        <v>0.9348285890982224</v>
      </c>
      <c r="CM15" s="12">
        <v>0.9342516648176197</v>
      </c>
      <c r="CN15" s="12"/>
    </row>
    <row r="17">
      <c r="A17" s="3" t="s">
        <v>18</v>
      </c>
    </row>
    <row r="18">
      <c r="A18" s="3" t="s">
        <v>19</v>
      </c>
      <c r="B18" s="3" t="s">
        <v>17</v>
      </c>
    </row>
    <row r="19">
      <c r="A19" s="13">
        <v>1.0E7</v>
      </c>
      <c r="B19" s="12">
        <f t="shared" ref="B19:B108" si="6">(1+(A19-10*10^6)/$D$7)^(-$B$10)</f>
        <v>1</v>
      </c>
    </row>
    <row r="20">
      <c r="A20" s="7">
        <f t="shared" ref="A20:A108" si="7">A19+10*10^6</f>
        <v>20000000</v>
      </c>
      <c r="B20" s="12">
        <f t="shared" si="6"/>
        <v>0.9990397813</v>
      </c>
    </row>
    <row r="21">
      <c r="A21" s="7">
        <f t="shared" si="7"/>
        <v>30000000</v>
      </c>
      <c r="B21" s="12">
        <f t="shared" si="6"/>
        <v>0.9980865065</v>
      </c>
    </row>
    <row r="22">
      <c r="A22" s="7">
        <f t="shared" si="7"/>
        <v>40000000</v>
      </c>
      <c r="B22" s="12">
        <f t="shared" si="6"/>
        <v>0.9971400825</v>
      </c>
    </row>
    <row r="23">
      <c r="A23" s="7">
        <f t="shared" si="7"/>
        <v>50000000</v>
      </c>
      <c r="B23" s="12">
        <f t="shared" si="6"/>
        <v>0.9962004178</v>
      </c>
    </row>
    <row r="24">
      <c r="A24" s="7">
        <f t="shared" si="7"/>
        <v>60000000</v>
      </c>
      <c r="B24" s="12">
        <f t="shared" si="6"/>
        <v>0.9952674229</v>
      </c>
    </row>
    <row r="25">
      <c r="A25" s="7">
        <f t="shared" si="7"/>
        <v>70000000</v>
      </c>
      <c r="B25" s="12">
        <f t="shared" si="6"/>
        <v>0.9943410098</v>
      </c>
    </row>
    <row r="26">
      <c r="A26" s="7">
        <f t="shared" si="7"/>
        <v>80000000</v>
      </c>
      <c r="B26" s="12">
        <f t="shared" si="6"/>
        <v>0.9934210923</v>
      </c>
    </row>
    <row r="27">
      <c r="A27" s="7">
        <f t="shared" si="7"/>
        <v>90000000</v>
      </c>
      <c r="B27" s="12">
        <f t="shared" si="6"/>
        <v>0.9925075858</v>
      </c>
    </row>
    <row r="28">
      <c r="A28" s="7">
        <f t="shared" si="7"/>
        <v>100000000</v>
      </c>
      <c r="B28" s="12">
        <f t="shared" si="6"/>
        <v>0.9916004075</v>
      </c>
    </row>
    <row r="29">
      <c r="A29" s="7">
        <f t="shared" si="7"/>
        <v>110000000</v>
      </c>
      <c r="B29" s="12">
        <f t="shared" si="6"/>
        <v>0.9906994758</v>
      </c>
    </row>
    <row r="30">
      <c r="A30" s="7">
        <f t="shared" si="7"/>
        <v>120000000</v>
      </c>
      <c r="B30" s="12">
        <f t="shared" si="6"/>
        <v>0.989804711</v>
      </c>
    </row>
    <row r="31">
      <c r="A31" s="7">
        <f t="shared" si="7"/>
        <v>130000000</v>
      </c>
      <c r="B31" s="12">
        <f t="shared" si="6"/>
        <v>0.9889160346</v>
      </c>
    </row>
    <row r="32">
      <c r="A32" s="7">
        <f t="shared" si="7"/>
        <v>140000000</v>
      </c>
      <c r="B32" s="12">
        <f t="shared" si="6"/>
        <v>0.9880333697</v>
      </c>
    </row>
    <row r="33">
      <c r="A33" s="7">
        <f t="shared" si="7"/>
        <v>150000000</v>
      </c>
      <c r="B33" s="12">
        <f t="shared" si="6"/>
        <v>0.9871566407</v>
      </c>
    </row>
    <row r="34">
      <c r="A34" s="7">
        <f t="shared" si="7"/>
        <v>160000000</v>
      </c>
      <c r="B34" s="12">
        <f t="shared" si="6"/>
        <v>0.9862857736</v>
      </c>
    </row>
    <row r="35">
      <c r="A35" s="7">
        <f t="shared" si="7"/>
        <v>170000000</v>
      </c>
      <c r="B35" s="12">
        <f t="shared" si="6"/>
        <v>0.9854206956</v>
      </c>
    </row>
    <row r="36">
      <c r="A36" s="7">
        <f t="shared" si="7"/>
        <v>180000000</v>
      </c>
      <c r="B36" s="12">
        <f t="shared" si="6"/>
        <v>0.9845613351</v>
      </c>
    </row>
    <row r="37">
      <c r="A37" s="7">
        <f t="shared" si="7"/>
        <v>190000000</v>
      </c>
      <c r="B37" s="12">
        <f t="shared" si="6"/>
        <v>0.983707622</v>
      </c>
    </row>
    <row r="38">
      <c r="A38" s="7">
        <f t="shared" si="7"/>
        <v>200000000</v>
      </c>
      <c r="B38" s="12">
        <f t="shared" si="6"/>
        <v>0.9828594873</v>
      </c>
    </row>
    <row r="39">
      <c r="A39" s="7">
        <f t="shared" si="7"/>
        <v>210000000</v>
      </c>
      <c r="B39" s="12">
        <f t="shared" si="6"/>
        <v>0.9820168633</v>
      </c>
    </row>
    <row r="40">
      <c r="A40" s="7">
        <f t="shared" si="7"/>
        <v>220000000</v>
      </c>
      <c r="B40" s="12">
        <f t="shared" si="6"/>
        <v>0.9811796836</v>
      </c>
    </row>
    <row r="41">
      <c r="A41" s="7">
        <f t="shared" si="7"/>
        <v>230000000</v>
      </c>
      <c r="B41" s="12">
        <f t="shared" si="6"/>
        <v>0.9803478828</v>
      </c>
    </row>
    <row r="42">
      <c r="A42" s="7">
        <f t="shared" si="7"/>
        <v>240000000</v>
      </c>
      <c r="B42" s="12">
        <f t="shared" si="6"/>
        <v>0.9795213966</v>
      </c>
    </row>
    <row r="43">
      <c r="A43" s="7">
        <f t="shared" si="7"/>
        <v>250000000</v>
      </c>
      <c r="B43" s="12">
        <f t="shared" si="6"/>
        <v>0.978700162</v>
      </c>
    </row>
    <row r="44">
      <c r="A44" s="7">
        <f t="shared" si="7"/>
        <v>260000000</v>
      </c>
      <c r="B44" s="12">
        <f t="shared" si="6"/>
        <v>0.977884117</v>
      </c>
    </row>
    <row r="45">
      <c r="A45" s="7">
        <f t="shared" si="7"/>
        <v>270000000</v>
      </c>
      <c r="B45" s="12">
        <f t="shared" si="6"/>
        <v>0.9770732007</v>
      </c>
    </row>
    <row r="46">
      <c r="A46" s="7">
        <f t="shared" si="7"/>
        <v>280000000</v>
      </c>
      <c r="B46" s="12">
        <f t="shared" si="6"/>
        <v>0.9762673532</v>
      </c>
    </row>
    <row r="47">
      <c r="A47" s="7">
        <f t="shared" si="7"/>
        <v>290000000</v>
      </c>
      <c r="B47" s="12">
        <f t="shared" si="6"/>
        <v>0.9754665156</v>
      </c>
    </row>
    <row r="48">
      <c r="A48" s="7">
        <f t="shared" si="7"/>
        <v>300000000</v>
      </c>
      <c r="B48" s="12">
        <f t="shared" si="6"/>
        <v>0.97467063</v>
      </c>
    </row>
    <row r="49">
      <c r="A49" s="7">
        <f t="shared" si="7"/>
        <v>310000000</v>
      </c>
      <c r="B49" s="12">
        <f t="shared" si="6"/>
        <v>0.9738796396</v>
      </c>
    </row>
    <row r="50">
      <c r="A50" s="7">
        <f t="shared" si="7"/>
        <v>320000000</v>
      </c>
      <c r="B50" s="12">
        <f t="shared" si="6"/>
        <v>0.9730934884</v>
      </c>
    </row>
    <row r="51">
      <c r="A51" s="7">
        <f t="shared" si="7"/>
        <v>330000000</v>
      </c>
      <c r="B51" s="12">
        <f t="shared" si="6"/>
        <v>0.9723121214</v>
      </c>
    </row>
    <row r="52">
      <c r="A52" s="7">
        <f t="shared" si="7"/>
        <v>340000000</v>
      </c>
      <c r="B52" s="12">
        <f t="shared" si="6"/>
        <v>0.9715354845</v>
      </c>
    </row>
    <row r="53">
      <c r="A53" s="7">
        <f t="shared" si="7"/>
        <v>350000000</v>
      </c>
      <c r="B53" s="12">
        <f t="shared" si="6"/>
        <v>0.9707635245</v>
      </c>
    </row>
    <row r="54">
      <c r="A54" s="7">
        <f t="shared" si="7"/>
        <v>360000000</v>
      </c>
      <c r="B54" s="12">
        <f t="shared" si="6"/>
        <v>0.969996189</v>
      </c>
    </row>
    <row r="55">
      <c r="A55" s="7">
        <f t="shared" si="7"/>
        <v>370000000</v>
      </c>
      <c r="B55" s="12">
        <f t="shared" si="6"/>
        <v>0.9692334266</v>
      </c>
    </row>
    <row r="56">
      <c r="A56" s="7">
        <f t="shared" si="7"/>
        <v>380000000</v>
      </c>
      <c r="B56" s="12">
        <f t="shared" si="6"/>
        <v>0.9684751865</v>
      </c>
    </row>
    <row r="57">
      <c r="A57" s="7">
        <f t="shared" si="7"/>
        <v>390000000</v>
      </c>
      <c r="B57" s="12">
        <f t="shared" si="6"/>
        <v>0.9677214191</v>
      </c>
    </row>
    <row r="58">
      <c r="A58" s="7">
        <f t="shared" si="7"/>
        <v>400000000</v>
      </c>
      <c r="B58" s="12">
        <f t="shared" si="6"/>
        <v>0.9669720752</v>
      </c>
    </row>
    <row r="59">
      <c r="A59" s="7">
        <f t="shared" si="7"/>
        <v>410000000</v>
      </c>
      <c r="B59" s="12">
        <f t="shared" si="6"/>
        <v>0.9662271066</v>
      </c>
    </row>
    <row r="60">
      <c r="A60" s="7">
        <f t="shared" si="7"/>
        <v>420000000</v>
      </c>
      <c r="B60" s="12">
        <f t="shared" si="6"/>
        <v>0.9654864658</v>
      </c>
    </row>
    <row r="61">
      <c r="A61" s="7">
        <f t="shared" si="7"/>
        <v>430000000</v>
      </c>
      <c r="B61" s="12">
        <f t="shared" si="6"/>
        <v>0.964750106</v>
      </c>
    </row>
    <row r="62">
      <c r="A62" s="7">
        <f t="shared" si="7"/>
        <v>440000000</v>
      </c>
      <c r="B62" s="12">
        <f t="shared" si="6"/>
        <v>0.9640179814</v>
      </c>
    </row>
    <row r="63">
      <c r="A63" s="7">
        <f t="shared" si="7"/>
        <v>450000000</v>
      </c>
      <c r="B63" s="12">
        <f t="shared" si="6"/>
        <v>0.9632900466</v>
      </c>
    </row>
    <row r="64">
      <c r="A64" s="7">
        <f t="shared" si="7"/>
        <v>460000000</v>
      </c>
      <c r="B64" s="12">
        <f t="shared" si="6"/>
        <v>0.962566257</v>
      </c>
    </row>
    <row r="65">
      <c r="A65" s="7">
        <f t="shared" si="7"/>
        <v>470000000</v>
      </c>
      <c r="B65" s="12">
        <f t="shared" si="6"/>
        <v>0.9618465687</v>
      </c>
    </row>
    <row r="66">
      <c r="A66" s="7">
        <f t="shared" si="7"/>
        <v>480000000</v>
      </c>
      <c r="B66" s="12">
        <f t="shared" si="6"/>
        <v>0.9611309387</v>
      </c>
    </row>
    <row r="67">
      <c r="A67" s="7">
        <f t="shared" si="7"/>
        <v>490000000</v>
      </c>
      <c r="B67" s="12">
        <f t="shared" si="6"/>
        <v>0.9604193242</v>
      </c>
    </row>
    <row r="68">
      <c r="A68" s="7">
        <f t="shared" si="7"/>
        <v>500000000</v>
      </c>
      <c r="B68" s="12">
        <f t="shared" si="6"/>
        <v>0.9597116835</v>
      </c>
    </row>
    <row r="69">
      <c r="A69" s="7">
        <f t="shared" si="7"/>
        <v>510000000</v>
      </c>
      <c r="B69" s="12">
        <f t="shared" si="6"/>
        <v>0.9590079753</v>
      </c>
    </row>
    <row r="70">
      <c r="A70" s="7">
        <f t="shared" si="7"/>
        <v>520000000</v>
      </c>
      <c r="B70" s="12">
        <f t="shared" si="6"/>
        <v>0.9583081589</v>
      </c>
    </row>
    <row r="71">
      <c r="A71" s="7">
        <f t="shared" si="7"/>
        <v>530000000</v>
      </c>
      <c r="B71" s="12">
        <f t="shared" si="6"/>
        <v>0.9576121944</v>
      </c>
    </row>
    <row r="72">
      <c r="A72" s="7">
        <f t="shared" si="7"/>
        <v>540000000</v>
      </c>
      <c r="B72" s="12">
        <f t="shared" si="6"/>
        <v>0.9569200423</v>
      </c>
    </row>
    <row r="73">
      <c r="A73" s="7">
        <f t="shared" si="7"/>
        <v>550000000</v>
      </c>
      <c r="B73" s="12">
        <f t="shared" si="6"/>
        <v>0.9562316637</v>
      </c>
    </row>
    <row r="74">
      <c r="A74" s="7">
        <f t="shared" si="7"/>
        <v>560000000</v>
      </c>
      <c r="B74" s="12">
        <f t="shared" si="6"/>
        <v>0.9555470205</v>
      </c>
    </row>
    <row r="75">
      <c r="A75" s="7">
        <f t="shared" si="7"/>
        <v>570000000</v>
      </c>
      <c r="B75" s="12">
        <f t="shared" si="6"/>
        <v>0.954866075</v>
      </c>
    </row>
    <row r="76">
      <c r="A76" s="7">
        <f t="shared" si="7"/>
        <v>580000000</v>
      </c>
      <c r="B76" s="12">
        <f t="shared" si="6"/>
        <v>0.95418879</v>
      </c>
    </row>
    <row r="77">
      <c r="A77" s="7">
        <f t="shared" si="7"/>
        <v>590000000</v>
      </c>
      <c r="B77" s="12">
        <f t="shared" si="6"/>
        <v>0.9535151289</v>
      </c>
    </row>
    <row r="78">
      <c r="A78" s="7">
        <f t="shared" si="7"/>
        <v>600000000</v>
      </c>
      <c r="B78" s="12">
        <f t="shared" si="6"/>
        <v>0.9528450558</v>
      </c>
    </row>
    <row r="79">
      <c r="A79" s="7">
        <f t="shared" si="7"/>
        <v>610000000</v>
      </c>
      <c r="B79" s="12">
        <f t="shared" si="6"/>
        <v>0.9521785349</v>
      </c>
    </row>
    <row r="80">
      <c r="A80" s="7">
        <f t="shared" si="7"/>
        <v>620000000</v>
      </c>
      <c r="B80" s="12">
        <f t="shared" si="6"/>
        <v>0.9515155314</v>
      </c>
    </row>
    <row r="81">
      <c r="A81" s="7">
        <f t="shared" si="7"/>
        <v>630000000</v>
      </c>
      <c r="B81" s="12">
        <f t="shared" si="6"/>
        <v>0.9508560107</v>
      </c>
    </row>
    <row r="82">
      <c r="A82" s="7">
        <f t="shared" si="7"/>
        <v>640000000</v>
      </c>
      <c r="B82" s="12">
        <f t="shared" si="6"/>
        <v>0.9501999388</v>
      </c>
    </row>
    <row r="83">
      <c r="A83" s="7">
        <f t="shared" si="7"/>
        <v>650000000</v>
      </c>
      <c r="B83" s="12">
        <f t="shared" si="6"/>
        <v>0.9495472822</v>
      </c>
    </row>
    <row r="84">
      <c r="A84" s="7">
        <f t="shared" si="7"/>
        <v>660000000</v>
      </c>
      <c r="B84" s="12">
        <f t="shared" si="6"/>
        <v>0.9488980077</v>
      </c>
    </row>
    <row r="85">
      <c r="A85" s="7">
        <f t="shared" si="7"/>
        <v>670000000</v>
      </c>
      <c r="B85" s="12">
        <f t="shared" si="6"/>
        <v>0.9482520828</v>
      </c>
    </row>
    <row r="86">
      <c r="A86" s="7">
        <f t="shared" si="7"/>
        <v>680000000</v>
      </c>
      <c r="B86" s="12">
        <f t="shared" si="6"/>
        <v>0.9476094754</v>
      </c>
    </row>
    <row r="87">
      <c r="A87" s="7">
        <f t="shared" si="7"/>
        <v>690000000</v>
      </c>
      <c r="B87" s="12">
        <f t="shared" si="6"/>
        <v>0.9469701538</v>
      </c>
    </row>
    <row r="88">
      <c r="A88" s="7">
        <f t="shared" si="7"/>
        <v>700000000</v>
      </c>
      <c r="B88" s="12">
        <f t="shared" si="6"/>
        <v>0.9463340867</v>
      </c>
    </row>
    <row r="89">
      <c r="A89" s="7">
        <f t="shared" si="7"/>
        <v>710000000</v>
      </c>
      <c r="B89" s="12">
        <f t="shared" si="6"/>
        <v>0.9457012433</v>
      </c>
    </row>
    <row r="90">
      <c r="A90" s="7">
        <f t="shared" si="7"/>
        <v>720000000</v>
      </c>
      <c r="B90" s="12">
        <f t="shared" si="6"/>
        <v>0.9450715933</v>
      </c>
    </row>
    <row r="91">
      <c r="A91" s="7">
        <f t="shared" si="7"/>
        <v>730000000</v>
      </c>
      <c r="B91" s="12">
        <f t="shared" si="6"/>
        <v>0.9444451066</v>
      </c>
    </row>
    <row r="92">
      <c r="A92" s="7">
        <f t="shared" si="7"/>
        <v>740000000</v>
      </c>
      <c r="B92" s="12">
        <f t="shared" si="6"/>
        <v>0.9438217537</v>
      </c>
    </row>
    <row r="93">
      <c r="A93" s="7">
        <f t="shared" si="7"/>
        <v>750000000</v>
      </c>
      <c r="B93" s="12">
        <f t="shared" si="6"/>
        <v>0.9432015054</v>
      </c>
    </row>
    <row r="94">
      <c r="A94" s="7">
        <f t="shared" si="7"/>
        <v>760000000</v>
      </c>
      <c r="B94" s="12">
        <f t="shared" si="6"/>
        <v>0.942584333</v>
      </c>
    </row>
    <row r="95">
      <c r="A95" s="7">
        <f t="shared" si="7"/>
        <v>770000000</v>
      </c>
      <c r="B95" s="12">
        <f t="shared" si="6"/>
        <v>0.9419702081</v>
      </c>
    </row>
    <row r="96">
      <c r="A96" s="7">
        <f t="shared" si="7"/>
        <v>780000000</v>
      </c>
      <c r="B96" s="12">
        <f t="shared" si="6"/>
        <v>0.9413591028</v>
      </c>
    </row>
    <row r="97">
      <c r="A97" s="7">
        <f t="shared" si="7"/>
        <v>790000000</v>
      </c>
      <c r="B97" s="12">
        <f t="shared" si="6"/>
        <v>0.9407509893</v>
      </c>
    </row>
    <row r="98">
      <c r="A98" s="7">
        <f t="shared" si="7"/>
        <v>800000000</v>
      </c>
      <c r="B98" s="12">
        <f t="shared" si="6"/>
        <v>0.9401458405</v>
      </c>
    </row>
    <row r="99">
      <c r="A99" s="7">
        <f t="shared" si="7"/>
        <v>810000000</v>
      </c>
      <c r="B99" s="12">
        <f t="shared" si="6"/>
        <v>0.9395436295</v>
      </c>
    </row>
    <row r="100">
      <c r="A100" s="7">
        <f t="shared" si="7"/>
        <v>820000000</v>
      </c>
      <c r="B100" s="12">
        <f t="shared" si="6"/>
        <v>0.9389443297</v>
      </c>
    </row>
    <row r="101">
      <c r="A101" s="7">
        <f t="shared" si="7"/>
        <v>830000000</v>
      </c>
      <c r="B101" s="12">
        <f t="shared" si="6"/>
        <v>0.9383479149</v>
      </c>
    </row>
    <row r="102">
      <c r="A102" s="7">
        <f t="shared" si="7"/>
        <v>840000000</v>
      </c>
      <c r="B102" s="12">
        <f t="shared" si="6"/>
        <v>0.9377543594</v>
      </c>
    </row>
    <row r="103">
      <c r="A103" s="7">
        <f t="shared" si="7"/>
        <v>850000000</v>
      </c>
      <c r="B103" s="12">
        <f t="shared" si="6"/>
        <v>0.9371636376</v>
      </c>
    </row>
    <row r="104">
      <c r="A104" s="7">
        <f t="shared" si="7"/>
        <v>860000000</v>
      </c>
      <c r="B104" s="12">
        <f t="shared" si="6"/>
        <v>0.9365757244</v>
      </c>
    </row>
    <row r="105">
      <c r="A105" s="7">
        <f t="shared" si="7"/>
        <v>870000000</v>
      </c>
      <c r="B105" s="12">
        <f t="shared" si="6"/>
        <v>0.9359905948</v>
      </c>
    </row>
    <row r="106">
      <c r="A106" s="7">
        <f t="shared" si="7"/>
        <v>880000000</v>
      </c>
      <c r="B106" s="12">
        <f t="shared" si="6"/>
        <v>0.9354082245</v>
      </c>
    </row>
    <row r="107">
      <c r="A107" s="7">
        <f t="shared" si="7"/>
        <v>890000000</v>
      </c>
      <c r="B107" s="12">
        <f t="shared" si="6"/>
        <v>0.9348285891</v>
      </c>
    </row>
    <row r="108">
      <c r="A108" s="7">
        <f t="shared" si="7"/>
        <v>900000000</v>
      </c>
      <c r="B108" s="12">
        <f t="shared" si="6"/>
        <v>0.9342516648</v>
      </c>
    </row>
    <row r="109">
      <c r="A109" s="7"/>
      <c r="B109" s="12"/>
    </row>
    <row r="110">
      <c r="A110" s="7"/>
    </row>
    <row r="111">
      <c r="A111" s="7"/>
    </row>
    <row r="112">
      <c r="A112" s="7"/>
    </row>
    <row r="113">
      <c r="A113" s="7"/>
    </row>
    <row r="114">
      <c r="A114" s="7"/>
    </row>
    <row r="115">
      <c r="A115" s="7"/>
    </row>
    <row r="116">
      <c r="A116" s="7"/>
    </row>
    <row r="117">
      <c r="A117" s="7"/>
    </row>
    <row r="118">
      <c r="A118" s="7"/>
    </row>
  </sheetData>
  <hyperlinks>
    <hyperlink r:id="rId1" location=":~:text=Funds%20directed,cash%20transfers%20to%20increase%20vaccinations" ref="G2"/>
    <hyperlink r:id="rId2" ref="G10"/>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17.25"/>
    <col customWidth="1" min="3" max="3" width="16.75"/>
    <col customWidth="1" min="4" max="4" width="18.63"/>
  </cols>
  <sheetData>
    <row r="1">
      <c r="A1" s="14" t="s">
        <v>20</v>
      </c>
      <c r="B1" s="15"/>
      <c r="C1" s="15"/>
      <c r="D1" s="16"/>
    </row>
    <row r="2">
      <c r="A2" s="17" t="s">
        <v>21</v>
      </c>
      <c r="B2" s="18"/>
      <c r="C2" s="18"/>
      <c r="D2" s="18"/>
    </row>
    <row r="3">
      <c r="A3" s="17" t="s">
        <v>22</v>
      </c>
      <c r="B3" s="17" t="s">
        <v>23</v>
      </c>
      <c r="C3" s="17" t="s">
        <v>24</v>
      </c>
      <c r="D3" s="17" t="s">
        <v>25</v>
      </c>
      <c r="F3" s="3" t="s">
        <v>26</v>
      </c>
    </row>
    <row r="4">
      <c r="A4" s="2" t="s">
        <v>27</v>
      </c>
      <c r="B4" s="19">
        <f>'Overall Grantmaking'!B4*60</f>
        <v>10066.9614</v>
      </c>
      <c r="C4" s="19">
        <f>'Overall Grantmaking'!C4*60</f>
        <v>13739.68485</v>
      </c>
      <c r="D4" s="19">
        <f>'Overall Grantmaking'!D4*60</f>
        <v>18152.23749</v>
      </c>
    </row>
    <row r="5">
      <c r="A5" s="2" t="s">
        <v>28</v>
      </c>
      <c r="B5" s="19">
        <f>'Overall Grantmaking'!B5*60</f>
        <v>782.9858868</v>
      </c>
      <c r="C5" s="19">
        <f>'Overall Grantmaking'!C5*60</f>
        <v>1068.642155</v>
      </c>
      <c r="D5" s="19">
        <f>'Overall Grantmaking'!D5*60</f>
        <v>1411.840693</v>
      </c>
    </row>
    <row r="6">
      <c r="A6" s="2" t="s">
        <v>29</v>
      </c>
      <c r="B6" s="19">
        <f>'Overall Grantmaking'!B6*60</f>
        <v>279.6378167</v>
      </c>
      <c r="C6" s="19">
        <f>'Overall Grantmaking'!C6*60</f>
        <v>381.6579126</v>
      </c>
      <c r="D6" s="19">
        <f>'Overall Grantmaking'!D6*60</f>
        <v>504.2288191</v>
      </c>
    </row>
    <row r="7">
      <c r="A7" s="2" t="s">
        <v>30</v>
      </c>
      <c r="B7" s="19">
        <f>'Overall Grantmaking'!B7*60</f>
        <v>55.92756334</v>
      </c>
      <c r="C7" s="19">
        <f>'Overall Grantmaking'!C7*60</f>
        <v>76.33158251</v>
      </c>
      <c r="D7" s="19">
        <f>'Overall Grantmaking'!D7*60</f>
        <v>100.8457638</v>
      </c>
    </row>
    <row r="8">
      <c r="A8" s="2" t="s">
        <v>31</v>
      </c>
      <c r="B8" s="19">
        <f>'Overall Grantmaking'!B8*60</f>
        <v>0</v>
      </c>
      <c r="C8" s="19">
        <f>'Overall Grantmaking'!C8*60</f>
        <v>0</v>
      </c>
      <c r="D8" s="19">
        <f>'Overall Grantmaking'!D8*60</f>
        <v>0</v>
      </c>
    </row>
    <row r="9">
      <c r="A9" s="2" t="s">
        <v>32</v>
      </c>
      <c r="B9" s="19">
        <f>'Overall Grantmaking'!B9*60</f>
        <v>0</v>
      </c>
      <c r="C9" s="19">
        <f>'Overall Grantmaking'!C9*60</f>
        <v>0</v>
      </c>
      <c r="D9" s="19">
        <f>'Overall Grantmaking'!D9*60</f>
        <v>0</v>
      </c>
    </row>
    <row r="10">
      <c r="A10" s="20"/>
      <c r="B10" s="20"/>
      <c r="C10" s="20"/>
      <c r="D10" s="20"/>
    </row>
    <row r="11">
      <c r="A11" s="17" t="s">
        <v>33</v>
      </c>
      <c r="B11" s="17" t="s">
        <v>23</v>
      </c>
      <c r="C11" s="17" t="s">
        <v>24</v>
      </c>
      <c r="D11" s="17" t="s">
        <v>25</v>
      </c>
    </row>
    <row r="12">
      <c r="A12" s="2" t="s">
        <v>27</v>
      </c>
      <c r="B12" s="19">
        <f>'Overall Grantmaking'!B12</f>
        <v>2243.295911</v>
      </c>
      <c r="C12" s="19">
        <f>'Overall Grantmaking'!C12</f>
        <v>3061.716205</v>
      </c>
      <c r="D12" s="19">
        <f>'Overall Grantmaking'!D12</f>
        <v>4044.99814</v>
      </c>
    </row>
    <row r="13">
      <c r="A13" s="2" t="s">
        <v>28</v>
      </c>
      <c r="B13" s="19">
        <f>'Overall Grantmaking'!B13</f>
        <v>174.4785709</v>
      </c>
      <c r="C13" s="19">
        <f>'Overall Grantmaking'!C13</f>
        <v>238.1334826</v>
      </c>
      <c r="D13" s="19">
        <f>'Overall Grantmaking'!D13</f>
        <v>314.6109664</v>
      </c>
    </row>
    <row r="14">
      <c r="A14" s="2" t="s">
        <v>29</v>
      </c>
      <c r="B14" s="19">
        <f>'Overall Grantmaking'!B14</f>
        <v>62.31377532</v>
      </c>
      <c r="C14" s="19">
        <f>'Overall Grantmaking'!C14</f>
        <v>85.04767235</v>
      </c>
      <c r="D14" s="19">
        <f>'Overall Grantmaking'!D14</f>
        <v>112.3610594</v>
      </c>
    </row>
    <row r="15">
      <c r="A15" s="2" t="s">
        <v>30</v>
      </c>
      <c r="B15" s="19">
        <f>'Overall Grantmaking'!B15</f>
        <v>12.46275506</v>
      </c>
      <c r="C15" s="19">
        <f>'Overall Grantmaking'!C15</f>
        <v>17.00953447</v>
      </c>
      <c r="D15" s="19">
        <f>'Overall Grantmaking'!D15</f>
        <v>22.47221189</v>
      </c>
    </row>
    <row r="16">
      <c r="A16" s="2" t="s">
        <v>31</v>
      </c>
      <c r="B16" s="19">
        <f>'Overall Grantmaking'!B16</f>
        <v>0</v>
      </c>
      <c r="C16" s="19">
        <f>'Overall Grantmaking'!C16</f>
        <v>0</v>
      </c>
      <c r="D16" s="19">
        <f>'Overall Grantmaking'!D16</f>
        <v>0</v>
      </c>
    </row>
    <row r="17">
      <c r="A17" s="2" t="s">
        <v>32</v>
      </c>
      <c r="B17" s="19">
        <f>'Overall Grantmaking'!B17</f>
        <v>0</v>
      </c>
      <c r="C17" s="19">
        <f>'Overall Grantmaking'!C17</f>
        <v>0</v>
      </c>
      <c r="D17" s="19">
        <f>'Overall Grantmaking'!D17</f>
        <v>0</v>
      </c>
    </row>
    <row r="18">
      <c r="A18" s="20"/>
      <c r="B18" s="20"/>
      <c r="C18" s="20"/>
      <c r="D18" s="20"/>
    </row>
    <row r="19">
      <c r="A19" s="17" t="s">
        <v>34</v>
      </c>
      <c r="B19" s="17" t="s">
        <v>23</v>
      </c>
      <c r="C19" s="17" t="s">
        <v>24</v>
      </c>
      <c r="D19" s="17" t="s">
        <v>25</v>
      </c>
    </row>
    <row r="20">
      <c r="A20" s="2" t="s">
        <v>27</v>
      </c>
      <c r="B20" s="19">
        <f>'Overall Grantmaking'!B20</f>
        <v>1946.553305</v>
      </c>
      <c r="C20" s="19">
        <f>'Overall Grantmaking'!C20</f>
        <v>2656.713172</v>
      </c>
      <c r="D20" s="19">
        <f>'Overall Grantmaking'!D20</f>
        <v>3509.926825</v>
      </c>
    </row>
    <row r="21">
      <c r="A21" s="2" t="s">
        <v>28</v>
      </c>
      <c r="B21" s="19">
        <f>'Overall Grantmaking'!B21</f>
        <v>151.3985904</v>
      </c>
      <c r="C21" s="19">
        <f>'Overall Grantmaking'!C21</f>
        <v>206.6332467</v>
      </c>
      <c r="D21" s="19">
        <f>'Overall Grantmaking'!D21</f>
        <v>272.9943086</v>
      </c>
    </row>
    <row r="22">
      <c r="A22" s="2" t="s">
        <v>29</v>
      </c>
      <c r="B22" s="19">
        <f>'Overall Grantmaking'!B22</f>
        <v>1351.773128</v>
      </c>
      <c r="C22" s="19">
        <f>'Overall Grantmaking'!C22</f>
        <v>1844.939703</v>
      </c>
      <c r="D22" s="19">
        <f>'Overall Grantmaking'!D22</f>
        <v>2437.449184</v>
      </c>
    </row>
    <row r="23">
      <c r="A23" s="2" t="s">
        <v>30</v>
      </c>
      <c r="B23" s="19">
        <f>'Overall Grantmaking'!B23</f>
        <v>7364.460002</v>
      </c>
      <c r="C23" s="19">
        <f>'Overall Grantmaking'!C23</f>
        <v>10051.2315</v>
      </c>
      <c r="D23" s="19">
        <f>'Overall Grantmaking'!D23</f>
        <v>13279.22315</v>
      </c>
    </row>
    <row r="24">
      <c r="A24" s="2" t="s">
        <v>31</v>
      </c>
      <c r="B24" s="19">
        <f>'Overall Grantmaking'!B24</f>
        <v>0</v>
      </c>
      <c r="C24" s="19">
        <f>'Overall Grantmaking'!C24</f>
        <v>0</v>
      </c>
      <c r="D24" s="19">
        <f>'Overall Grantmaking'!D24</f>
        <v>0</v>
      </c>
    </row>
    <row r="25">
      <c r="A25" s="2" t="s">
        <v>32</v>
      </c>
      <c r="B25" s="19">
        <f>'Overall Grantmaking'!B25</f>
        <v>0</v>
      </c>
      <c r="C25" s="19">
        <f>'Overall Grantmaking'!C25</f>
        <v>0</v>
      </c>
      <c r="D25" s="19">
        <f>'Overall Grantmaking'!D25</f>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20.88"/>
    <col customWidth="1" min="3" max="3" width="22.63"/>
    <col customWidth="1" min="4" max="4" width="23.38"/>
    <col customWidth="1" min="9" max="9" width="63.75"/>
  </cols>
  <sheetData>
    <row r="1">
      <c r="A1" s="14" t="s">
        <v>20</v>
      </c>
      <c r="B1" s="15"/>
      <c r="C1" s="15"/>
      <c r="D1" s="16"/>
      <c r="E1" s="16"/>
      <c r="F1" s="16"/>
      <c r="G1" s="16"/>
      <c r="H1" s="16"/>
      <c r="I1" s="14" t="s">
        <v>4</v>
      </c>
      <c r="J1" s="16"/>
      <c r="K1" s="16"/>
      <c r="L1" s="16"/>
      <c r="M1" s="16"/>
      <c r="N1" s="16"/>
      <c r="O1" s="16"/>
      <c r="P1" s="16"/>
      <c r="Q1" s="16"/>
      <c r="R1" s="16"/>
      <c r="S1" s="16"/>
      <c r="T1" s="16"/>
      <c r="U1" s="16"/>
      <c r="V1" s="16"/>
      <c r="W1" s="16"/>
      <c r="X1" s="16"/>
      <c r="Y1" s="16"/>
      <c r="Z1" s="16"/>
    </row>
    <row r="2">
      <c r="A2" s="17" t="s">
        <v>21</v>
      </c>
      <c r="B2" s="18"/>
      <c r="C2" s="18"/>
      <c r="D2" s="18"/>
      <c r="E2" s="20"/>
      <c r="F2" s="20"/>
      <c r="G2" s="20"/>
      <c r="H2" s="20"/>
      <c r="I2" s="2" t="s">
        <v>35</v>
      </c>
      <c r="J2" s="20"/>
      <c r="K2" s="20"/>
      <c r="L2" s="20"/>
      <c r="M2" s="20"/>
      <c r="N2" s="20"/>
      <c r="O2" s="20"/>
      <c r="P2" s="20"/>
      <c r="Q2" s="20"/>
      <c r="R2" s="20"/>
      <c r="S2" s="20"/>
      <c r="T2" s="20"/>
      <c r="U2" s="20"/>
      <c r="V2" s="20"/>
      <c r="W2" s="20"/>
      <c r="X2" s="20"/>
      <c r="Y2" s="20"/>
      <c r="Z2" s="20"/>
    </row>
    <row r="3">
      <c r="A3" s="17" t="s">
        <v>36</v>
      </c>
      <c r="B3" s="17" t="s">
        <v>23</v>
      </c>
      <c r="C3" s="17" t="s">
        <v>24</v>
      </c>
      <c r="D3" s="17" t="s">
        <v>25</v>
      </c>
      <c r="E3" s="20"/>
      <c r="F3" s="20"/>
      <c r="G3" s="20"/>
      <c r="H3" s="20"/>
      <c r="I3" s="17" t="s">
        <v>37</v>
      </c>
      <c r="J3" s="20"/>
      <c r="K3" s="20"/>
      <c r="L3" s="20"/>
      <c r="M3" s="20"/>
      <c r="N3" s="20"/>
      <c r="O3" s="20"/>
      <c r="P3" s="20"/>
      <c r="Q3" s="20"/>
      <c r="R3" s="20"/>
      <c r="S3" s="20"/>
      <c r="T3" s="20"/>
      <c r="U3" s="20"/>
      <c r="V3" s="20"/>
      <c r="W3" s="20"/>
      <c r="X3" s="20"/>
      <c r="Y3" s="20"/>
      <c r="Z3" s="20"/>
    </row>
    <row r="4">
      <c r="A4" s="2" t="s">
        <v>27</v>
      </c>
      <c r="B4" s="19">
        <f t="shared" ref="B4:D4" si="1">B$57*$B62</f>
        <v>167.78269</v>
      </c>
      <c r="C4" s="19">
        <f t="shared" si="1"/>
        <v>228.9947475</v>
      </c>
      <c r="D4" s="19">
        <f t="shared" si="1"/>
        <v>302.5372915</v>
      </c>
      <c r="E4" s="20"/>
      <c r="F4" s="20"/>
      <c r="G4" s="20"/>
      <c r="H4" s="20"/>
      <c r="I4" s="21" t="s">
        <v>38</v>
      </c>
      <c r="J4" s="20"/>
      <c r="K4" s="20"/>
      <c r="L4" s="20"/>
      <c r="M4" s="20"/>
      <c r="N4" s="20"/>
      <c r="O4" s="20"/>
      <c r="P4" s="20"/>
      <c r="Q4" s="20"/>
      <c r="R4" s="20"/>
      <c r="S4" s="20"/>
      <c r="T4" s="20"/>
      <c r="U4" s="20"/>
      <c r="V4" s="20"/>
      <c r="W4" s="20"/>
      <c r="X4" s="20"/>
      <c r="Y4" s="20"/>
      <c r="Z4" s="20"/>
    </row>
    <row r="5">
      <c r="A5" s="2" t="s">
        <v>28</v>
      </c>
      <c r="B5" s="19">
        <f t="shared" ref="B5:D5" si="2">B$57*$B63</f>
        <v>13.04976478</v>
      </c>
      <c r="C5" s="19">
        <f t="shared" si="2"/>
        <v>17.81070259</v>
      </c>
      <c r="D5" s="19">
        <f t="shared" si="2"/>
        <v>23.53067822</v>
      </c>
      <c r="E5" s="20"/>
      <c r="F5" s="20"/>
      <c r="G5" s="20"/>
      <c r="H5" s="20"/>
      <c r="I5" s="22" t="s">
        <v>39</v>
      </c>
      <c r="J5" s="20"/>
      <c r="K5" s="20"/>
      <c r="L5" s="20"/>
      <c r="M5" s="20"/>
      <c r="N5" s="20"/>
      <c r="O5" s="20"/>
      <c r="P5" s="20"/>
      <c r="Q5" s="20"/>
      <c r="R5" s="20"/>
      <c r="S5" s="20"/>
      <c r="T5" s="20"/>
      <c r="U5" s="20"/>
      <c r="V5" s="20"/>
      <c r="W5" s="20"/>
      <c r="X5" s="20"/>
      <c r="Y5" s="20"/>
      <c r="Z5" s="20"/>
    </row>
    <row r="6">
      <c r="A6" s="2" t="s">
        <v>29</v>
      </c>
      <c r="B6" s="19">
        <f t="shared" ref="B6:D6" si="3">B$57*$B64</f>
        <v>4.660630278</v>
      </c>
      <c r="C6" s="19">
        <f t="shared" si="3"/>
        <v>6.360965209</v>
      </c>
      <c r="D6" s="19">
        <f t="shared" si="3"/>
        <v>8.403813652</v>
      </c>
      <c r="E6" s="20"/>
      <c r="F6" s="20"/>
      <c r="G6" s="20"/>
      <c r="H6" s="20"/>
      <c r="I6" s="20"/>
      <c r="J6" s="20"/>
      <c r="K6" s="20"/>
      <c r="L6" s="20"/>
      <c r="M6" s="20"/>
      <c r="N6" s="20"/>
      <c r="O6" s="20"/>
      <c r="P6" s="20"/>
      <c r="Q6" s="20"/>
      <c r="R6" s="20"/>
      <c r="S6" s="20"/>
      <c r="T6" s="20"/>
      <c r="U6" s="20"/>
      <c r="V6" s="20"/>
      <c r="W6" s="20"/>
      <c r="X6" s="20"/>
      <c r="Y6" s="20"/>
      <c r="Z6" s="20"/>
    </row>
    <row r="7">
      <c r="A7" s="2" t="s">
        <v>30</v>
      </c>
      <c r="B7" s="19">
        <f t="shared" ref="B7:D7" si="4">B$57*$B65</f>
        <v>0.9321260557</v>
      </c>
      <c r="C7" s="19">
        <f t="shared" si="4"/>
        <v>1.272193042</v>
      </c>
      <c r="D7" s="19">
        <f t="shared" si="4"/>
        <v>1.68076273</v>
      </c>
      <c r="E7" s="20"/>
      <c r="F7" s="20"/>
      <c r="G7" s="20"/>
      <c r="H7" s="20"/>
      <c r="I7" s="20"/>
      <c r="J7" s="20"/>
      <c r="K7" s="20"/>
      <c r="L7" s="20"/>
      <c r="M7" s="20"/>
      <c r="N7" s="20"/>
      <c r="O7" s="20"/>
      <c r="P7" s="20"/>
      <c r="Q7" s="20"/>
      <c r="R7" s="20"/>
      <c r="S7" s="20"/>
      <c r="T7" s="20"/>
      <c r="U7" s="20"/>
      <c r="V7" s="20"/>
      <c r="W7" s="20"/>
      <c r="X7" s="20"/>
      <c r="Y7" s="20"/>
      <c r="Z7" s="20"/>
    </row>
    <row r="8">
      <c r="A8" s="2" t="s">
        <v>31</v>
      </c>
      <c r="B8" s="23">
        <f t="shared" ref="B8:D8" si="5">B$57*$B66</f>
        <v>0</v>
      </c>
      <c r="C8" s="23">
        <f t="shared" si="5"/>
        <v>0</v>
      </c>
      <c r="D8" s="23">
        <f t="shared" si="5"/>
        <v>0</v>
      </c>
      <c r="E8" s="20"/>
      <c r="F8" s="20"/>
      <c r="G8" s="20"/>
      <c r="H8" s="20"/>
      <c r="I8" s="20"/>
      <c r="J8" s="20"/>
      <c r="K8" s="20"/>
      <c r="L8" s="20"/>
      <c r="M8" s="20"/>
      <c r="N8" s="20"/>
      <c r="O8" s="20"/>
      <c r="P8" s="20"/>
      <c r="Q8" s="20"/>
      <c r="R8" s="20"/>
      <c r="S8" s="20"/>
      <c r="T8" s="20"/>
      <c r="U8" s="20"/>
      <c r="V8" s="20"/>
      <c r="W8" s="20"/>
      <c r="X8" s="20"/>
      <c r="Y8" s="20"/>
      <c r="Z8" s="20"/>
    </row>
    <row r="9">
      <c r="A9" s="2" t="s">
        <v>32</v>
      </c>
      <c r="B9" s="23">
        <f t="shared" ref="B9:D9" si="6">B$57*$B67</f>
        <v>0</v>
      </c>
      <c r="C9" s="23">
        <f t="shared" si="6"/>
        <v>0</v>
      </c>
      <c r="D9" s="23">
        <f t="shared" si="6"/>
        <v>0</v>
      </c>
      <c r="E9" s="20"/>
      <c r="F9" s="20"/>
      <c r="G9" s="20"/>
      <c r="H9" s="20"/>
      <c r="I9" s="20"/>
      <c r="J9" s="20"/>
      <c r="K9" s="20"/>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17" t="s">
        <v>33</v>
      </c>
      <c r="B11" s="17" t="s">
        <v>23</v>
      </c>
      <c r="C11" s="17" t="s">
        <v>24</v>
      </c>
      <c r="D11" s="17" t="s">
        <v>25</v>
      </c>
      <c r="E11" s="20"/>
      <c r="F11" s="20"/>
      <c r="G11" s="20"/>
      <c r="H11" s="20"/>
      <c r="I11" s="20"/>
      <c r="J11" s="20"/>
      <c r="K11" s="20"/>
      <c r="L11" s="20"/>
      <c r="M11" s="20"/>
      <c r="N11" s="20"/>
      <c r="O11" s="20"/>
      <c r="P11" s="20"/>
      <c r="Q11" s="20"/>
      <c r="R11" s="20"/>
      <c r="S11" s="20"/>
      <c r="T11" s="20"/>
      <c r="U11" s="20"/>
      <c r="V11" s="20"/>
      <c r="W11" s="20"/>
      <c r="X11" s="20"/>
      <c r="Y11" s="20"/>
      <c r="Z11" s="20"/>
    </row>
    <row r="12">
      <c r="A12" s="2" t="s">
        <v>27</v>
      </c>
      <c r="B12" s="19">
        <f t="shared" ref="B12:D12" si="7">B$58*$C62</f>
        <v>2243.295911</v>
      </c>
      <c r="C12" s="19">
        <f t="shared" si="7"/>
        <v>3061.716205</v>
      </c>
      <c r="D12" s="19">
        <f t="shared" si="7"/>
        <v>4044.99814</v>
      </c>
      <c r="E12" s="20"/>
      <c r="F12" s="20"/>
      <c r="G12" s="20"/>
      <c r="H12" s="20"/>
      <c r="I12" s="20"/>
      <c r="J12" s="20"/>
      <c r="K12" s="20"/>
      <c r="L12" s="20"/>
      <c r="M12" s="20"/>
      <c r="N12" s="20"/>
      <c r="O12" s="20"/>
      <c r="P12" s="20"/>
      <c r="Q12" s="20"/>
      <c r="R12" s="20"/>
      <c r="S12" s="20"/>
      <c r="T12" s="20"/>
      <c r="U12" s="20"/>
      <c r="V12" s="20"/>
      <c r="W12" s="20"/>
      <c r="X12" s="20"/>
      <c r="Y12" s="20"/>
      <c r="Z12" s="20"/>
    </row>
    <row r="13">
      <c r="A13" s="2" t="s">
        <v>28</v>
      </c>
      <c r="B13" s="19">
        <f t="shared" ref="B13:D13" si="8">B$58*$C63</f>
        <v>174.4785709</v>
      </c>
      <c r="C13" s="19">
        <f t="shared" si="8"/>
        <v>238.1334826</v>
      </c>
      <c r="D13" s="19">
        <f t="shared" si="8"/>
        <v>314.6109664</v>
      </c>
      <c r="E13" s="20"/>
      <c r="F13" s="20"/>
      <c r="G13" s="20"/>
      <c r="H13" s="20"/>
      <c r="I13" s="20"/>
      <c r="J13" s="20"/>
      <c r="K13" s="20"/>
      <c r="L13" s="20"/>
      <c r="M13" s="20"/>
      <c r="N13" s="20"/>
      <c r="O13" s="20"/>
      <c r="P13" s="20"/>
      <c r="Q13" s="20"/>
      <c r="R13" s="20"/>
      <c r="S13" s="20"/>
      <c r="T13" s="20"/>
      <c r="U13" s="20"/>
      <c r="V13" s="20"/>
      <c r="W13" s="20"/>
      <c r="X13" s="20"/>
      <c r="Y13" s="20"/>
      <c r="Z13" s="20"/>
    </row>
    <row r="14">
      <c r="A14" s="2" t="s">
        <v>29</v>
      </c>
      <c r="B14" s="19">
        <f t="shared" ref="B14:D14" si="9">B$58*$C64</f>
        <v>62.31377532</v>
      </c>
      <c r="C14" s="19">
        <f t="shared" si="9"/>
        <v>85.04767235</v>
      </c>
      <c r="D14" s="19">
        <f t="shared" si="9"/>
        <v>112.3610594</v>
      </c>
      <c r="E14" s="20"/>
      <c r="F14" s="20"/>
      <c r="G14" s="20"/>
      <c r="H14" s="20"/>
      <c r="I14" s="20"/>
      <c r="J14" s="20"/>
      <c r="K14" s="20"/>
      <c r="L14" s="20"/>
      <c r="M14" s="20"/>
      <c r="N14" s="20"/>
      <c r="O14" s="20"/>
      <c r="P14" s="20"/>
      <c r="Q14" s="20"/>
      <c r="R14" s="20"/>
      <c r="S14" s="20"/>
      <c r="T14" s="20"/>
      <c r="U14" s="20"/>
      <c r="V14" s="20"/>
      <c r="W14" s="20"/>
      <c r="X14" s="20"/>
      <c r="Y14" s="20"/>
      <c r="Z14" s="20"/>
    </row>
    <row r="15">
      <c r="A15" s="2" t="s">
        <v>30</v>
      </c>
      <c r="B15" s="19">
        <f t="shared" ref="B15:D15" si="10">B$58*$C65</f>
        <v>12.46275506</v>
      </c>
      <c r="C15" s="19">
        <f t="shared" si="10"/>
        <v>17.00953447</v>
      </c>
      <c r="D15" s="19">
        <f t="shared" si="10"/>
        <v>22.47221189</v>
      </c>
      <c r="E15" s="20"/>
      <c r="F15" s="20"/>
      <c r="G15" s="20"/>
      <c r="H15" s="20"/>
      <c r="I15" s="20"/>
      <c r="J15" s="20"/>
      <c r="K15" s="20"/>
      <c r="L15" s="20"/>
      <c r="M15" s="20"/>
      <c r="N15" s="20"/>
      <c r="O15" s="20"/>
      <c r="P15" s="20"/>
      <c r="Q15" s="20"/>
      <c r="R15" s="20"/>
      <c r="S15" s="20"/>
      <c r="T15" s="20"/>
      <c r="U15" s="20"/>
      <c r="V15" s="20"/>
      <c r="W15" s="20"/>
      <c r="X15" s="20"/>
      <c r="Y15" s="20"/>
      <c r="Z15" s="20"/>
    </row>
    <row r="16">
      <c r="A16" s="2" t="s">
        <v>31</v>
      </c>
      <c r="B16" s="19">
        <f t="shared" ref="B16:D16" si="11">B$58*$C66</f>
        <v>0</v>
      </c>
      <c r="C16" s="19">
        <f t="shared" si="11"/>
        <v>0</v>
      </c>
      <c r="D16" s="19">
        <f t="shared" si="11"/>
        <v>0</v>
      </c>
      <c r="E16" s="20"/>
      <c r="F16" s="20"/>
      <c r="G16" s="20"/>
      <c r="H16" s="20"/>
      <c r="I16" s="20"/>
      <c r="J16" s="20"/>
      <c r="K16" s="20"/>
      <c r="L16" s="20"/>
      <c r="M16" s="20"/>
      <c r="N16" s="20"/>
      <c r="O16" s="20"/>
      <c r="P16" s="20"/>
      <c r="Q16" s="20"/>
      <c r="R16" s="20"/>
      <c r="S16" s="20"/>
      <c r="T16" s="20"/>
      <c r="U16" s="20"/>
      <c r="V16" s="20"/>
      <c r="W16" s="20"/>
      <c r="X16" s="20"/>
      <c r="Y16" s="20"/>
      <c r="Z16" s="20"/>
    </row>
    <row r="17">
      <c r="A17" s="2" t="s">
        <v>32</v>
      </c>
      <c r="B17" s="19">
        <f t="shared" ref="B17:D17" si="12">B$58*$C67</f>
        <v>0</v>
      </c>
      <c r="C17" s="19">
        <f t="shared" si="12"/>
        <v>0</v>
      </c>
      <c r="D17" s="19">
        <f t="shared" si="12"/>
        <v>0</v>
      </c>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17" t="s">
        <v>34</v>
      </c>
      <c r="B19" s="17" t="s">
        <v>23</v>
      </c>
      <c r="C19" s="17" t="s">
        <v>24</v>
      </c>
      <c r="D19" s="17" t="s">
        <v>25</v>
      </c>
      <c r="E19" s="20"/>
      <c r="F19" s="20"/>
      <c r="G19" s="20"/>
      <c r="H19" s="20"/>
      <c r="I19" s="20"/>
      <c r="J19" s="20"/>
      <c r="K19" s="20"/>
      <c r="L19" s="20"/>
      <c r="M19" s="20"/>
      <c r="N19" s="20"/>
      <c r="O19" s="20"/>
      <c r="P19" s="20"/>
      <c r="Q19" s="20"/>
      <c r="R19" s="20"/>
      <c r="S19" s="20"/>
      <c r="T19" s="20"/>
      <c r="U19" s="20"/>
      <c r="V19" s="20"/>
      <c r="W19" s="20"/>
      <c r="X19" s="20"/>
      <c r="Y19" s="20"/>
      <c r="Z19" s="20"/>
    </row>
    <row r="20">
      <c r="A20" s="2" t="s">
        <v>27</v>
      </c>
      <c r="B20" s="19">
        <f t="shared" ref="B20:D20" si="13">B$59*$D62</f>
        <v>1946.553305</v>
      </c>
      <c r="C20" s="19">
        <f t="shared" si="13"/>
        <v>2656.713172</v>
      </c>
      <c r="D20" s="19">
        <f t="shared" si="13"/>
        <v>3509.926825</v>
      </c>
      <c r="E20" s="20"/>
      <c r="F20" s="20"/>
      <c r="G20" s="20"/>
      <c r="H20" s="20"/>
      <c r="I20" s="20"/>
      <c r="J20" s="20"/>
      <c r="K20" s="20"/>
      <c r="L20" s="20"/>
      <c r="M20" s="20"/>
      <c r="N20" s="20"/>
      <c r="O20" s="20"/>
      <c r="P20" s="20"/>
      <c r="Q20" s="20"/>
      <c r="R20" s="20"/>
      <c r="S20" s="20"/>
      <c r="T20" s="20"/>
      <c r="U20" s="20"/>
      <c r="V20" s="20"/>
      <c r="W20" s="20"/>
      <c r="X20" s="20"/>
      <c r="Y20" s="20"/>
      <c r="Z20" s="20"/>
    </row>
    <row r="21">
      <c r="A21" s="2" t="s">
        <v>28</v>
      </c>
      <c r="B21" s="19">
        <f t="shared" ref="B21:D21" si="14">B$59*$D63</f>
        <v>151.3985904</v>
      </c>
      <c r="C21" s="19">
        <f t="shared" si="14"/>
        <v>206.6332467</v>
      </c>
      <c r="D21" s="19">
        <f t="shared" si="14"/>
        <v>272.9943086</v>
      </c>
      <c r="E21" s="20"/>
      <c r="F21" s="20"/>
      <c r="G21" s="20"/>
      <c r="H21" s="20"/>
      <c r="I21" s="20"/>
      <c r="J21" s="20"/>
      <c r="K21" s="20"/>
      <c r="L21" s="20"/>
      <c r="M21" s="20"/>
      <c r="N21" s="20"/>
      <c r="O21" s="20"/>
      <c r="P21" s="20"/>
      <c r="Q21" s="20"/>
      <c r="R21" s="20"/>
      <c r="S21" s="20"/>
      <c r="T21" s="20"/>
      <c r="U21" s="20"/>
      <c r="V21" s="20"/>
      <c r="W21" s="20"/>
      <c r="X21" s="20"/>
      <c r="Y21" s="20"/>
      <c r="Z21" s="20"/>
    </row>
    <row r="22">
      <c r="A22" s="2" t="s">
        <v>29</v>
      </c>
      <c r="B22" s="19">
        <f t="shared" ref="B22:D22" si="15">B$59*$D64</f>
        <v>1351.773128</v>
      </c>
      <c r="C22" s="19">
        <f t="shared" si="15"/>
        <v>1844.939703</v>
      </c>
      <c r="D22" s="19">
        <f t="shared" si="15"/>
        <v>2437.449184</v>
      </c>
      <c r="E22" s="20"/>
      <c r="F22" s="20"/>
      <c r="G22" s="20"/>
      <c r="H22" s="20"/>
      <c r="I22" s="20"/>
      <c r="J22" s="20"/>
      <c r="K22" s="20"/>
      <c r="L22" s="20"/>
      <c r="M22" s="20"/>
      <c r="N22" s="20"/>
      <c r="O22" s="20"/>
      <c r="P22" s="20"/>
      <c r="Q22" s="20"/>
      <c r="R22" s="20"/>
      <c r="S22" s="20"/>
      <c r="T22" s="20"/>
      <c r="U22" s="20"/>
      <c r="V22" s="20"/>
      <c r="W22" s="20"/>
      <c r="X22" s="20"/>
      <c r="Y22" s="20"/>
      <c r="Z22" s="20"/>
    </row>
    <row r="23">
      <c r="A23" s="2" t="s">
        <v>30</v>
      </c>
      <c r="B23" s="19">
        <f t="shared" ref="B23:D23" si="16">B$59*$D65</f>
        <v>7364.460002</v>
      </c>
      <c r="C23" s="19">
        <f t="shared" si="16"/>
        <v>10051.2315</v>
      </c>
      <c r="D23" s="19">
        <f t="shared" si="16"/>
        <v>13279.22315</v>
      </c>
      <c r="E23" s="20"/>
      <c r="F23" s="20"/>
      <c r="G23" s="20"/>
      <c r="H23" s="20"/>
      <c r="I23" s="20"/>
      <c r="J23" s="20"/>
      <c r="K23" s="20"/>
      <c r="L23" s="20"/>
      <c r="M23" s="20"/>
      <c r="N23" s="20"/>
      <c r="O23" s="20"/>
      <c r="P23" s="20"/>
      <c r="Q23" s="20"/>
      <c r="R23" s="20"/>
      <c r="S23" s="20"/>
      <c r="T23" s="20"/>
      <c r="U23" s="20"/>
      <c r="V23" s="20"/>
      <c r="W23" s="20"/>
      <c r="X23" s="20"/>
      <c r="Y23" s="20"/>
      <c r="Z23" s="20"/>
    </row>
    <row r="24">
      <c r="A24" s="2" t="s">
        <v>31</v>
      </c>
      <c r="B24" s="19">
        <f t="shared" ref="B24:D24" si="17">B$59*$D66</f>
        <v>0</v>
      </c>
      <c r="C24" s="19">
        <f t="shared" si="17"/>
        <v>0</v>
      </c>
      <c r="D24" s="19">
        <f t="shared" si="17"/>
        <v>0</v>
      </c>
      <c r="E24" s="20"/>
      <c r="F24" s="20"/>
      <c r="G24" s="20"/>
      <c r="H24" s="20"/>
      <c r="I24" s="20"/>
      <c r="J24" s="20"/>
      <c r="K24" s="20"/>
      <c r="L24" s="20"/>
      <c r="M24" s="20"/>
      <c r="N24" s="20"/>
      <c r="O24" s="20"/>
      <c r="P24" s="20"/>
      <c r="Q24" s="20"/>
      <c r="R24" s="20"/>
      <c r="S24" s="20"/>
      <c r="T24" s="20"/>
      <c r="U24" s="20"/>
      <c r="V24" s="20"/>
      <c r="W24" s="20"/>
      <c r="X24" s="20"/>
      <c r="Y24" s="20"/>
      <c r="Z24" s="20"/>
    </row>
    <row r="25">
      <c r="A25" s="2" t="s">
        <v>32</v>
      </c>
      <c r="B25" s="19">
        <f t="shared" ref="B25:D25" si="18">B$59*$D67</f>
        <v>0</v>
      </c>
      <c r="C25" s="19">
        <f t="shared" si="18"/>
        <v>0</v>
      </c>
      <c r="D25" s="19">
        <f t="shared" si="18"/>
        <v>0</v>
      </c>
      <c r="E25" s="20"/>
      <c r="F25" s="20"/>
      <c r="G25" s="20"/>
      <c r="H25" s="20"/>
      <c r="I25" s="20"/>
      <c r="J25" s="20"/>
      <c r="K25" s="20"/>
      <c r="L25" s="20"/>
      <c r="M25" s="20"/>
      <c r="N25" s="20"/>
      <c r="O25" s="20"/>
      <c r="P25" s="20"/>
      <c r="Q25" s="20"/>
      <c r="R25" s="20"/>
      <c r="S25" s="20"/>
      <c r="T25" s="20"/>
      <c r="U25" s="20"/>
      <c r="V25" s="20"/>
      <c r="W25" s="20"/>
      <c r="X25" s="20"/>
      <c r="Y25" s="20"/>
      <c r="Z25" s="20"/>
    </row>
    <row r="26">
      <c r="A26" s="2"/>
      <c r="B26" s="2"/>
      <c r="C26" s="2"/>
      <c r="D26" s="20"/>
      <c r="E26" s="20"/>
      <c r="F26" s="20"/>
      <c r="G26" s="20"/>
      <c r="H26" s="20"/>
      <c r="I26" s="20"/>
      <c r="J26" s="20"/>
      <c r="K26" s="20"/>
      <c r="L26" s="20"/>
      <c r="M26" s="20"/>
      <c r="N26" s="20"/>
      <c r="O26" s="20"/>
      <c r="P26" s="20"/>
      <c r="Q26" s="20"/>
      <c r="R26" s="20"/>
      <c r="S26" s="20"/>
      <c r="T26" s="20"/>
      <c r="U26" s="20"/>
      <c r="V26" s="20"/>
      <c r="W26" s="20"/>
      <c r="X26" s="20"/>
      <c r="Y26" s="20"/>
      <c r="Z26" s="20"/>
    </row>
    <row r="27">
      <c r="A27" s="14" t="s">
        <v>40</v>
      </c>
      <c r="B27" s="15"/>
      <c r="C27" s="15"/>
      <c r="D27" s="16"/>
      <c r="E27" s="16"/>
      <c r="F27" s="16"/>
      <c r="G27" s="16"/>
      <c r="H27" s="16"/>
      <c r="I27" s="16"/>
      <c r="J27" s="16"/>
      <c r="K27" s="16"/>
      <c r="L27" s="16"/>
      <c r="M27" s="16"/>
      <c r="N27" s="16"/>
      <c r="O27" s="16"/>
      <c r="P27" s="16"/>
      <c r="Q27" s="16"/>
      <c r="R27" s="16"/>
      <c r="S27" s="16"/>
      <c r="T27" s="16"/>
      <c r="U27" s="16"/>
      <c r="V27" s="16"/>
      <c r="W27" s="16"/>
      <c r="X27" s="16"/>
      <c r="Y27" s="16"/>
      <c r="Z27" s="16"/>
    </row>
    <row r="28">
      <c r="A28" s="2" t="s">
        <v>41</v>
      </c>
      <c r="B28" s="24">
        <f>'Cash Transfers Value'!B5</f>
        <v>3280.327273</v>
      </c>
      <c r="C28" s="2"/>
      <c r="D28" s="20"/>
      <c r="E28" s="20"/>
      <c r="F28" s="20"/>
      <c r="G28" s="20"/>
      <c r="H28" s="20"/>
      <c r="I28" s="2" t="s">
        <v>42</v>
      </c>
      <c r="J28" s="20"/>
      <c r="K28" s="20"/>
      <c r="L28" s="20"/>
      <c r="M28" s="20"/>
      <c r="N28" s="20"/>
      <c r="O28" s="20"/>
      <c r="P28" s="20"/>
      <c r="Q28" s="20"/>
      <c r="R28" s="20"/>
      <c r="S28" s="20"/>
      <c r="T28" s="20"/>
      <c r="U28" s="20"/>
      <c r="V28" s="20"/>
      <c r="W28" s="20"/>
      <c r="X28" s="20"/>
      <c r="Y28" s="20"/>
      <c r="Z28" s="20"/>
    </row>
    <row r="29">
      <c r="A29" s="2"/>
      <c r="B29" s="2"/>
      <c r="C29" s="2"/>
      <c r="D29" s="20"/>
      <c r="F29" s="20"/>
      <c r="G29" s="20"/>
      <c r="H29" s="20"/>
      <c r="I29" s="20"/>
      <c r="J29" s="20"/>
      <c r="K29" s="20"/>
      <c r="L29" s="20"/>
      <c r="M29" s="20"/>
      <c r="N29" s="20"/>
      <c r="O29" s="20"/>
      <c r="P29" s="20"/>
      <c r="Q29" s="20"/>
      <c r="R29" s="20"/>
      <c r="S29" s="20"/>
      <c r="T29" s="20"/>
      <c r="U29" s="20"/>
      <c r="V29" s="20"/>
      <c r="W29" s="20"/>
      <c r="X29" s="20"/>
      <c r="Y29" s="20"/>
      <c r="Z29" s="20"/>
    </row>
    <row r="30">
      <c r="A30" s="2" t="s">
        <v>43</v>
      </c>
      <c r="B30" s="2" t="s">
        <v>44</v>
      </c>
      <c r="C30" s="2" t="s">
        <v>45</v>
      </c>
      <c r="D30" s="20"/>
      <c r="F30" s="20"/>
      <c r="G30" s="20"/>
      <c r="H30" s="20"/>
      <c r="I30" s="2" t="s">
        <v>46</v>
      </c>
      <c r="J30" s="20"/>
      <c r="K30" s="20"/>
      <c r="L30" s="20"/>
      <c r="M30" s="20"/>
      <c r="N30" s="20"/>
      <c r="O30" s="20"/>
      <c r="P30" s="20"/>
      <c r="Q30" s="20"/>
      <c r="R30" s="20"/>
      <c r="S30" s="20"/>
      <c r="T30" s="20"/>
      <c r="U30" s="20"/>
      <c r="V30" s="20"/>
      <c r="W30" s="20"/>
      <c r="X30" s="20"/>
      <c r="Y30" s="20"/>
      <c r="Z30" s="20"/>
    </row>
    <row r="31">
      <c r="A31" s="2" t="s">
        <v>47</v>
      </c>
      <c r="B31" s="25">
        <f>'Percent Distribution Across Int'!D11</f>
        <v>0.5656941639</v>
      </c>
      <c r="C31" s="26">
        <f>IFERROR(__xludf.DUMMYFUNCTION("AVERAGE.Weighted('Percent Distribution Across Int'!G3:G9, 'Percent Distribution Across Int'!B3:B9)"),115.61176470588235)</f>
        <v>115.6117647</v>
      </c>
      <c r="D31" s="20"/>
      <c r="F31" s="20"/>
      <c r="G31" s="20"/>
      <c r="H31" s="20"/>
      <c r="I31" s="20"/>
      <c r="J31" s="20"/>
      <c r="K31" s="20"/>
      <c r="L31" s="20"/>
      <c r="M31" s="20"/>
      <c r="N31" s="20"/>
      <c r="O31" s="20"/>
      <c r="P31" s="20"/>
      <c r="Q31" s="20"/>
      <c r="R31" s="20"/>
      <c r="S31" s="20"/>
      <c r="T31" s="20"/>
      <c r="U31" s="20"/>
      <c r="V31" s="20"/>
      <c r="W31" s="20"/>
      <c r="X31" s="20"/>
      <c r="Y31" s="20"/>
      <c r="Z31" s="20"/>
    </row>
    <row r="32">
      <c r="A32" s="2" t="s">
        <v>48</v>
      </c>
      <c r="B32" s="25">
        <f>'Percent Distribution Across Int'!C11</f>
        <v>0.1504689588</v>
      </c>
      <c r="C32" s="27">
        <v>2.3</v>
      </c>
      <c r="D32" s="20"/>
      <c r="F32" s="20"/>
      <c r="G32" s="20"/>
      <c r="H32" s="20"/>
      <c r="I32" s="20"/>
      <c r="J32" s="20"/>
      <c r="K32" s="20"/>
      <c r="L32" s="20"/>
      <c r="M32" s="20"/>
      <c r="N32" s="20"/>
      <c r="O32" s="20"/>
      <c r="P32" s="20"/>
      <c r="Q32" s="20"/>
      <c r="R32" s="20"/>
      <c r="S32" s="20"/>
      <c r="T32" s="20"/>
      <c r="U32" s="20"/>
      <c r="V32" s="20"/>
      <c r="W32" s="20"/>
      <c r="X32" s="20"/>
      <c r="Y32" s="20"/>
      <c r="Z32" s="20"/>
    </row>
    <row r="33">
      <c r="A33" s="2" t="s">
        <v>49</v>
      </c>
      <c r="B33" s="25">
        <f>'Percent Distribution Across Int'!E11</f>
        <v>0.2838368773</v>
      </c>
      <c r="C33" s="27">
        <v>1.0</v>
      </c>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 t="s">
        <v>50</v>
      </c>
      <c r="I35" s="20"/>
      <c r="J35" s="20"/>
      <c r="K35" s="20"/>
      <c r="L35" s="20"/>
      <c r="M35" s="20"/>
      <c r="N35" s="20"/>
      <c r="O35" s="20"/>
      <c r="P35" s="20"/>
      <c r="Q35" s="20"/>
      <c r="R35" s="20"/>
      <c r="S35" s="20"/>
      <c r="T35" s="20"/>
      <c r="U35" s="20"/>
      <c r="V35" s="20"/>
      <c r="W35" s="20"/>
      <c r="X35" s="20"/>
      <c r="Y35" s="20"/>
      <c r="Z35" s="20"/>
    </row>
    <row r="36">
      <c r="A36" s="28" t="s">
        <v>51</v>
      </c>
      <c r="B36" s="29" t="s">
        <v>52</v>
      </c>
      <c r="C36" s="2" t="s">
        <v>53</v>
      </c>
      <c r="D36" s="2" t="s">
        <v>54</v>
      </c>
      <c r="E36" s="2" t="s">
        <v>55</v>
      </c>
      <c r="I36" s="2" t="s">
        <v>56</v>
      </c>
      <c r="J36" s="20"/>
      <c r="K36" s="20"/>
      <c r="L36" s="20"/>
      <c r="M36" s="20"/>
      <c r="N36" s="20"/>
      <c r="O36" s="20"/>
      <c r="P36" s="20"/>
      <c r="Q36" s="20"/>
      <c r="R36" s="20"/>
      <c r="S36" s="20"/>
      <c r="T36" s="20"/>
      <c r="U36" s="20"/>
      <c r="V36" s="20"/>
      <c r="W36" s="20"/>
      <c r="X36" s="20"/>
      <c r="Y36" s="20"/>
      <c r="Z36" s="20"/>
    </row>
    <row r="37">
      <c r="A37" s="2" t="s">
        <v>57</v>
      </c>
      <c r="B37" s="17">
        <v>0.05</v>
      </c>
      <c r="C37" s="21">
        <v>2.0</v>
      </c>
      <c r="D37" s="21">
        <v>6.0</v>
      </c>
      <c r="E37" s="21">
        <v>8.0</v>
      </c>
      <c r="I37" s="2" t="s">
        <v>58</v>
      </c>
      <c r="J37" s="20"/>
      <c r="K37" s="20"/>
      <c r="L37" s="20"/>
      <c r="M37" s="20"/>
      <c r="N37" s="20"/>
      <c r="O37" s="20"/>
      <c r="P37" s="20"/>
      <c r="Q37" s="20"/>
      <c r="R37" s="20"/>
      <c r="S37" s="20"/>
      <c r="T37" s="20"/>
      <c r="U37" s="20"/>
      <c r="V37" s="20"/>
      <c r="W37" s="20"/>
      <c r="X37" s="20"/>
      <c r="Y37" s="20"/>
      <c r="Z37" s="20"/>
    </row>
    <row r="38">
      <c r="A38" s="2" t="s">
        <v>59</v>
      </c>
      <c r="B38" s="17">
        <v>0.68</v>
      </c>
      <c r="C38" s="21">
        <v>8.0</v>
      </c>
      <c r="D38" s="21">
        <v>12.0</v>
      </c>
      <c r="E38" s="21">
        <v>16.0</v>
      </c>
      <c r="I38" s="2" t="s">
        <v>60</v>
      </c>
      <c r="J38" s="20"/>
      <c r="K38" s="20"/>
      <c r="L38" s="20"/>
      <c r="M38" s="20"/>
      <c r="N38" s="20"/>
      <c r="O38" s="20"/>
      <c r="P38" s="20"/>
      <c r="Q38" s="20"/>
      <c r="R38" s="20"/>
      <c r="S38" s="20"/>
      <c r="T38" s="20"/>
      <c r="U38" s="20"/>
      <c r="V38" s="20"/>
      <c r="W38" s="20"/>
      <c r="X38" s="20"/>
      <c r="Y38" s="20"/>
      <c r="Z38" s="20"/>
    </row>
    <row r="39">
      <c r="A39" s="2" t="s">
        <v>61</v>
      </c>
      <c r="B39" s="17">
        <v>0.27</v>
      </c>
      <c r="C39" s="21">
        <v>16.0</v>
      </c>
      <c r="D39" s="30">
        <v>28.0</v>
      </c>
      <c r="E39" s="21">
        <v>44.0</v>
      </c>
      <c r="I39" s="2" t="s">
        <v>62</v>
      </c>
      <c r="J39" s="20"/>
      <c r="K39" s="20"/>
      <c r="L39" s="20"/>
      <c r="M39" s="20"/>
      <c r="N39" s="20"/>
      <c r="O39" s="20"/>
      <c r="P39" s="20"/>
      <c r="Q39" s="20"/>
      <c r="R39" s="20"/>
      <c r="S39" s="20"/>
      <c r="T39" s="20"/>
      <c r="U39" s="20"/>
      <c r="V39" s="20"/>
      <c r="W39" s="20"/>
      <c r="X39" s="20"/>
      <c r="Y39" s="20"/>
      <c r="Z39" s="20"/>
    </row>
    <row r="40">
      <c r="A40" s="20"/>
      <c r="B40" s="2"/>
      <c r="C40" s="2"/>
      <c r="D40" s="2"/>
      <c r="E40" s="2"/>
      <c r="F40" s="20"/>
      <c r="G40" s="20"/>
      <c r="H40" s="20"/>
      <c r="I40" s="20"/>
      <c r="J40" s="20"/>
      <c r="K40" s="20"/>
      <c r="L40" s="20"/>
      <c r="M40" s="20"/>
      <c r="N40" s="20"/>
      <c r="O40" s="20"/>
      <c r="P40" s="20"/>
      <c r="Q40" s="20"/>
      <c r="R40" s="20"/>
      <c r="S40" s="20"/>
      <c r="T40" s="20"/>
      <c r="U40" s="20"/>
      <c r="V40" s="20"/>
      <c r="W40" s="20"/>
      <c r="X40" s="20"/>
      <c r="Y40" s="20"/>
      <c r="Z40" s="20"/>
    </row>
    <row r="41">
      <c r="A41" s="20"/>
      <c r="B41" s="2"/>
      <c r="C41" s="2" t="s">
        <v>63</v>
      </c>
      <c r="F41" s="20"/>
      <c r="G41" s="20"/>
      <c r="H41" s="20"/>
      <c r="I41" s="20"/>
      <c r="J41" s="20"/>
      <c r="K41" s="20"/>
      <c r="L41" s="20"/>
      <c r="M41" s="20"/>
      <c r="N41" s="20"/>
      <c r="O41" s="20"/>
      <c r="P41" s="20"/>
      <c r="Q41" s="20"/>
      <c r="R41" s="20"/>
      <c r="S41" s="20"/>
      <c r="T41" s="20"/>
      <c r="U41" s="20"/>
      <c r="V41" s="20"/>
      <c r="W41" s="20"/>
      <c r="X41" s="20"/>
      <c r="Y41" s="20"/>
      <c r="Z41" s="20"/>
    </row>
    <row r="42">
      <c r="A42" s="28" t="s">
        <v>51</v>
      </c>
      <c r="B42" s="2" t="str">
        <f t="shared" ref="B42:B45" si="19">B36</f>
        <v>Percent Grantmaking in 2025</v>
      </c>
      <c r="C42" s="2" t="s">
        <v>64</v>
      </c>
      <c r="D42" s="2" t="s">
        <v>65</v>
      </c>
      <c r="E42" s="2" t="s">
        <v>66</v>
      </c>
      <c r="F42" s="20"/>
      <c r="G42" s="20"/>
      <c r="H42" s="20"/>
      <c r="I42" s="2" t="s">
        <v>67</v>
      </c>
      <c r="J42" s="20"/>
      <c r="K42" s="20"/>
      <c r="L42" s="20"/>
      <c r="M42" s="20"/>
      <c r="N42" s="20"/>
      <c r="O42" s="20"/>
      <c r="P42" s="20"/>
      <c r="Q42" s="20"/>
      <c r="R42" s="20"/>
      <c r="S42" s="20"/>
      <c r="T42" s="20"/>
      <c r="U42" s="20"/>
      <c r="V42" s="20"/>
      <c r="W42" s="20"/>
      <c r="X42" s="20"/>
      <c r="Y42" s="20"/>
      <c r="Z42" s="20"/>
    </row>
    <row r="43">
      <c r="A43" s="2" t="s">
        <v>57</v>
      </c>
      <c r="B43" s="17">
        <f t="shared" si="19"/>
        <v>0.05</v>
      </c>
      <c r="C43" s="31">
        <f t="shared" ref="C43:E43" si="20">C37*$B$28</f>
        <v>6560.654545</v>
      </c>
      <c r="D43" s="31">
        <f t="shared" si="20"/>
        <v>19681.96364</v>
      </c>
      <c r="E43" s="31">
        <f t="shared" si="20"/>
        <v>26242.61818</v>
      </c>
      <c r="F43" s="20"/>
      <c r="G43" s="20"/>
      <c r="H43" s="20"/>
      <c r="I43" s="20"/>
      <c r="J43" s="20"/>
      <c r="K43" s="20"/>
      <c r="L43" s="20"/>
      <c r="M43" s="20"/>
      <c r="N43" s="20"/>
      <c r="O43" s="20"/>
      <c r="P43" s="20"/>
      <c r="Q43" s="20"/>
      <c r="R43" s="20"/>
      <c r="S43" s="20"/>
      <c r="T43" s="20"/>
      <c r="U43" s="20"/>
      <c r="V43" s="20"/>
      <c r="W43" s="20"/>
      <c r="X43" s="20"/>
      <c r="Y43" s="20"/>
      <c r="Z43" s="20"/>
    </row>
    <row r="44">
      <c r="A44" s="2" t="s">
        <v>59</v>
      </c>
      <c r="B44" s="17">
        <f t="shared" si="19"/>
        <v>0.68</v>
      </c>
      <c r="C44" s="31">
        <f t="shared" ref="C44:E44" si="21">C38*$B$28</f>
        <v>26242.61818</v>
      </c>
      <c r="D44" s="31">
        <f t="shared" si="21"/>
        <v>39363.92727</v>
      </c>
      <c r="E44" s="31">
        <f t="shared" si="21"/>
        <v>52485.23636</v>
      </c>
      <c r="F44" s="20"/>
      <c r="G44" s="20"/>
      <c r="H44" s="20"/>
      <c r="I44" s="20"/>
      <c r="J44" s="20"/>
      <c r="K44" s="20"/>
      <c r="L44" s="20"/>
      <c r="M44" s="20"/>
      <c r="N44" s="20"/>
      <c r="O44" s="20"/>
      <c r="P44" s="20"/>
      <c r="Q44" s="20"/>
      <c r="R44" s="20"/>
      <c r="S44" s="20"/>
      <c r="T44" s="20"/>
      <c r="U44" s="20"/>
      <c r="V44" s="20"/>
      <c r="W44" s="20"/>
      <c r="X44" s="20"/>
      <c r="Y44" s="20"/>
      <c r="Z44" s="20"/>
    </row>
    <row r="45">
      <c r="A45" s="2" t="s">
        <v>61</v>
      </c>
      <c r="B45" s="17">
        <f t="shared" si="19"/>
        <v>0.27</v>
      </c>
      <c r="C45" s="31">
        <f t="shared" ref="C45:E45" si="22">C39*$B$28</f>
        <v>52485.23636</v>
      </c>
      <c r="D45" s="31">
        <f t="shared" si="22"/>
        <v>91849.16364</v>
      </c>
      <c r="E45" s="31">
        <f t="shared" si="22"/>
        <v>144334.4</v>
      </c>
      <c r="F45" s="20"/>
      <c r="G45" s="20"/>
      <c r="H45" s="20"/>
      <c r="I45" s="20"/>
      <c r="J45" s="20"/>
      <c r="K45" s="20"/>
      <c r="L45" s="20"/>
      <c r="M45" s="20"/>
      <c r="N45" s="20"/>
      <c r="O45" s="20"/>
      <c r="P45" s="20"/>
      <c r="Q45" s="20"/>
      <c r="R45" s="20"/>
      <c r="S45" s="20"/>
      <c r="T45" s="20"/>
      <c r="U45" s="20"/>
      <c r="V45" s="20"/>
      <c r="W45" s="20"/>
      <c r="X45" s="20"/>
      <c r="Y45" s="20"/>
      <c r="Z45" s="20"/>
    </row>
    <row r="46">
      <c r="A46" s="20"/>
      <c r="B46" s="2"/>
      <c r="C46" s="2"/>
      <c r="D46" s="2"/>
      <c r="E46" s="20"/>
      <c r="F46" s="20"/>
      <c r="G46" s="20"/>
      <c r="H46" s="20"/>
      <c r="I46" s="20"/>
      <c r="J46" s="20"/>
      <c r="K46" s="20"/>
      <c r="L46" s="20"/>
      <c r="M46" s="20"/>
      <c r="N46" s="20"/>
      <c r="O46" s="20"/>
      <c r="P46" s="20"/>
      <c r="Q46" s="20"/>
      <c r="R46" s="20"/>
      <c r="S46" s="20"/>
      <c r="T46" s="20"/>
      <c r="U46" s="20"/>
      <c r="V46" s="20"/>
      <c r="W46" s="20"/>
      <c r="X46" s="20"/>
      <c r="Y46" s="20"/>
      <c r="Z46" s="20"/>
    </row>
    <row r="47">
      <c r="A47" s="20"/>
      <c r="B47" s="2"/>
      <c r="C47" s="2"/>
      <c r="D47" s="2"/>
      <c r="E47" s="20"/>
      <c r="F47" s="20"/>
      <c r="G47" s="20"/>
      <c r="H47" s="20"/>
      <c r="I47" s="20"/>
      <c r="J47" s="20"/>
      <c r="K47" s="20"/>
      <c r="L47" s="20"/>
      <c r="M47" s="20"/>
      <c r="N47" s="20"/>
      <c r="O47" s="20"/>
      <c r="P47" s="20"/>
      <c r="Q47" s="20"/>
      <c r="R47" s="20"/>
      <c r="S47" s="20"/>
      <c r="T47" s="20"/>
      <c r="U47" s="20"/>
      <c r="V47" s="20"/>
      <c r="W47" s="20"/>
      <c r="X47" s="20"/>
      <c r="Y47" s="20"/>
      <c r="Z47" s="20"/>
    </row>
    <row r="48">
      <c r="A48" s="28" t="s">
        <v>68</v>
      </c>
      <c r="B48" s="2" t="s">
        <v>64</v>
      </c>
      <c r="C48" s="2" t="s">
        <v>69</v>
      </c>
      <c r="D48" s="2" t="s">
        <v>66</v>
      </c>
      <c r="E48" s="20"/>
      <c r="F48" s="20"/>
      <c r="G48" s="20"/>
      <c r="H48" s="20"/>
      <c r="I48" s="20"/>
      <c r="J48" s="20"/>
      <c r="K48" s="20"/>
      <c r="L48" s="20"/>
      <c r="M48" s="20"/>
      <c r="N48" s="20"/>
      <c r="O48" s="20"/>
      <c r="P48" s="20"/>
      <c r="Q48" s="20"/>
      <c r="R48" s="20"/>
      <c r="S48" s="20"/>
      <c r="T48" s="20"/>
      <c r="U48" s="20"/>
      <c r="V48" s="20"/>
      <c r="W48" s="20"/>
      <c r="X48" s="20"/>
      <c r="Y48" s="20"/>
      <c r="Z48" s="20"/>
    </row>
    <row r="49">
      <c r="A49" s="29" t="s">
        <v>70</v>
      </c>
      <c r="B49" s="26">
        <v>38100.0</v>
      </c>
      <c r="C49" s="26">
        <v>52000.0</v>
      </c>
      <c r="D49" s="26">
        <v>68700.0</v>
      </c>
      <c r="G49" s="20"/>
      <c r="H49" s="20"/>
      <c r="I49" s="29" t="s">
        <v>71</v>
      </c>
      <c r="J49" s="20"/>
      <c r="K49" s="20"/>
      <c r="L49" s="20"/>
      <c r="M49" s="20"/>
      <c r="N49" s="20"/>
      <c r="O49" s="20"/>
      <c r="P49" s="20"/>
      <c r="Q49" s="20"/>
      <c r="R49" s="20"/>
      <c r="S49" s="20"/>
      <c r="T49" s="20"/>
      <c r="U49" s="20"/>
      <c r="V49" s="20"/>
      <c r="W49" s="20"/>
      <c r="X49" s="20"/>
      <c r="Y49" s="20"/>
      <c r="Z49" s="20"/>
    </row>
    <row r="50">
      <c r="A50" s="2" t="s">
        <v>72</v>
      </c>
      <c r="B50" s="32">
        <f>C49/B28</f>
        <v>15.85207684</v>
      </c>
      <c r="C50" s="20"/>
      <c r="D50" s="20"/>
      <c r="E50" s="20"/>
      <c r="F50" s="20"/>
      <c r="G50" s="20"/>
      <c r="H50" s="20"/>
      <c r="I50" s="29" t="s">
        <v>73</v>
      </c>
      <c r="J50" s="20"/>
      <c r="K50" s="20"/>
      <c r="L50" s="20"/>
      <c r="M50" s="20"/>
      <c r="N50" s="20"/>
      <c r="O50" s="20"/>
      <c r="P50" s="20"/>
      <c r="Q50" s="20"/>
      <c r="R50" s="20"/>
      <c r="S50" s="20"/>
      <c r="T50" s="20"/>
      <c r="U50" s="20"/>
      <c r="V50" s="20"/>
      <c r="W50" s="20"/>
      <c r="X50" s="20"/>
      <c r="Y50" s="20"/>
      <c r="Z50" s="20"/>
    </row>
    <row r="51">
      <c r="A51" s="28" t="s">
        <v>74</v>
      </c>
      <c r="B51" s="20"/>
      <c r="C51" s="20"/>
      <c r="D51" s="20"/>
      <c r="E51" s="20"/>
      <c r="F51" s="20"/>
      <c r="G51" s="20"/>
      <c r="H51" s="20"/>
      <c r="I51" s="2" t="s">
        <v>75</v>
      </c>
      <c r="J51" s="20"/>
      <c r="K51" s="20"/>
      <c r="L51" s="20"/>
      <c r="M51" s="20"/>
      <c r="N51" s="20"/>
      <c r="O51" s="20"/>
      <c r="P51" s="20"/>
      <c r="Q51" s="20"/>
      <c r="R51" s="20"/>
      <c r="S51" s="20"/>
      <c r="T51" s="20"/>
      <c r="U51" s="20"/>
      <c r="V51" s="20"/>
      <c r="W51" s="20"/>
      <c r="X51" s="20"/>
      <c r="Y51" s="20"/>
      <c r="Z51" s="20"/>
    </row>
    <row r="52">
      <c r="A52" s="2" t="s">
        <v>76</v>
      </c>
      <c r="B52" s="31">
        <f t="shared" ref="B52:D52" si="23">B$49*$B31</f>
        <v>21552.94765</v>
      </c>
      <c r="C52" s="31">
        <f t="shared" si="23"/>
        <v>29416.09652</v>
      </c>
      <c r="D52" s="31">
        <f t="shared" si="23"/>
        <v>38863.18906</v>
      </c>
      <c r="E52" s="20"/>
      <c r="F52" s="20"/>
      <c r="G52" s="20"/>
      <c r="H52" s="20"/>
      <c r="I52" s="20"/>
      <c r="J52" s="20"/>
      <c r="K52" s="20"/>
      <c r="L52" s="20"/>
      <c r="M52" s="20"/>
      <c r="N52" s="20"/>
      <c r="O52" s="20"/>
      <c r="P52" s="20"/>
      <c r="Q52" s="20"/>
      <c r="R52" s="20"/>
      <c r="S52" s="20"/>
      <c r="T52" s="20"/>
      <c r="U52" s="20"/>
      <c r="V52" s="20"/>
      <c r="W52" s="20"/>
      <c r="X52" s="20"/>
      <c r="Y52" s="20"/>
      <c r="Z52" s="20"/>
    </row>
    <row r="53">
      <c r="A53" s="2" t="s">
        <v>77</v>
      </c>
      <c r="B53" s="31">
        <f t="shared" ref="B53:D53" si="24">B$49*$B32</f>
        <v>5732.867329</v>
      </c>
      <c r="C53" s="31">
        <f t="shared" si="24"/>
        <v>7824.385856</v>
      </c>
      <c r="D53" s="31">
        <f t="shared" si="24"/>
        <v>10337.21747</v>
      </c>
      <c r="E53" s="20"/>
      <c r="F53" s="20"/>
      <c r="G53" s="20"/>
      <c r="H53" s="20"/>
      <c r="I53" s="20"/>
      <c r="J53" s="20"/>
      <c r="K53" s="20"/>
      <c r="L53" s="20"/>
      <c r="M53" s="20"/>
      <c r="N53" s="20"/>
      <c r="O53" s="20"/>
      <c r="P53" s="20"/>
      <c r="Q53" s="20"/>
      <c r="R53" s="20"/>
      <c r="S53" s="20"/>
      <c r="T53" s="20"/>
      <c r="U53" s="20"/>
      <c r="V53" s="20"/>
      <c r="W53" s="20"/>
      <c r="X53" s="20"/>
      <c r="Y53" s="20"/>
      <c r="Z53" s="20"/>
    </row>
    <row r="54">
      <c r="A54" s="2" t="s">
        <v>78</v>
      </c>
      <c r="B54" s="31">
        <f t="shared" ref="B54:D54" si="25">B$49*$B33</f>
        <v>10814.18503</v>
      </c>
      <c r="C54" s="31">
        <f t="shared" si="25"/>
        <v>14759.51762</v>
      </c>
      <c r="D54" s="31">
        <f t="shared" si="25"/>
        <v>19499.59347</v>
      </c>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 t="s">
        <v>79</v>
      </c>
      <c r="B56" s="2" t="s">
        <v>64</v>
      </c>
      <c r="C56" s="2" t="s">
        <v>69</v>
      </c>
      <c r="D56" s="2" t="s">
        <v>66</v>
      </c>
      <c r="E56" s="20"/>
      <c r="F56" s="20"/>
      <c r="G56" s="20"/>
      <c r="H56" s="20"/>
      <c r="I56" s="2" t="s">
        <v>80</v>
      </c>
      <c r="J56" s="20"/>
      <c r="K56" s="20"/>
      <c r="L56" s="20"/>
      <c r="M56" s="20"/>
      <c r="N56" s="20"/>
      <c r="O56" s="20"/>
      <c r="P56" s="20"/>
      <c r="Q56" s="20"/>
      <c r="R56" s="20"/>
      <c r="S56" s="20"/>
      <c r="T56" s="20"/>
      <c r="U56" s="20"/>
      <c r="V56" s="20"/>
      <c r="W56" s="20"/>
      <c r="X56" s="20"/>
      <c r="Y56" s="20"/>
      <c r="Z56" s="20"/>
    </row>
    <row r="57">
      <c r="A57" s="2" t="s">
        <v>81</v>
      </c>
      <c r="B57" s="31">
        <f t="shared" ref="B57:D57" si="26">B52/$C31</f>
        <v>186.4252111</v>
      </c>
      <c r="C57" s="31">
        <f t="shared" si="26"/>
        <v>254.4386084</v>
      </c>
      <c r="D57" s="31">
        <f t="shared" si="26"/>
        <v>336.1525461</v>
      </c>
      <c r="E57" s="20"/>
      <c r="F57" s="20"/>
      <c r="G57" s="20"/>
      <c r="H57" s="20"/>
      <c r="I57" s="20"/>
      <c r="J57" s="20"/>
      <c r="K57" s="20"/>
      <c r="L57" s="20"/>
      <c r="M57" s="20"/>
      <c r="N57" s="20"/>
      <c r="O57" s="20"/>
      <c r="P57" s="20"/>
      <c r="Q57" s="20"/>
      <c r="R57" s="20"/>
      <c r="S57" s="20"/>
      <c r="T57" s="20"/>
      <c r="U57" s="20"/>
      <c r="V57" s="20"/>
      <c r="W57" s="20"/>
      <c r="X57" s="20"/>
      <c r="Y57" s="20"/>
      <c r="Z57" s="20"/>
    </row>
    <row r="58">
      <c r="A58" s="2" t="s">
        <v>82</v>
      </c>
      <c r="B58" s="31">
        <f t="shared" ref="B58:D58" si="27">B53/$C32</f>
        <v>2492.551013</v>
      </c>
      <c r="C58" s="31">
        <f t="shared" si="27"/>
        <v>3401.906894</v>
      </c>
      <c r="D58" s="31">
        <f t="shared" si="27"/>
        <v>4494.442377</v>
      </c>
      <c r="E58" s="20"/>
      <c r="F58" s="20"/>
      <c r="G58" s="20"/>
      <c r="H58" s="20"/>
      <c r="I58" s="20"/>
      <c r="J58" s="20"/>
      <c r="K58" s="20"/>
      <c r="L58" s="20"/>
      <c r="M58" s="20"/>
      <c r="N58" s="20"/>
      <c r="O58" s="20"/>
      <c r="P58" s="20"/>
      <c r="Q58" s="20"/>
      <c r="R58" s="20"/>
      <c r="S58" s="20"/>
      <c r="T58" s="20"/>
      <c r="U58" s="20"/>
      <c r="V58" s="20"/>
      <c r="W58" s="20"/>
      <c r="X58" s="20"/>
      <c r="Y58" s="20"/>
      <c r="Z58" s="20"/>
    </row>
    <row r="59">
      <c r="A59" s="2" t="s">
        <v>83</v>
      </c>
      <c r="B59" s="31">
        <f t="shared" ref="B59:D59" si="28">B54/$C33</f>
        <v>10814.18503</v>
      </c>
      <c r="C59" s="31">
        <f t="shared" si="28"/>
        <v>14759.51762</v>
      </c>
      <c r="D59" s="31">
        <f t="shared" si="28"/>
        <v>19499.59347</v>
      </c>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 t="s">
        <v>84</v>
      </c>
      <c r="B61" s="2" t="s">
        <v>85</v>
      </c>
      <c r="C61" s="2" t="s">
        <v>86</v>
      </c>
      <c r="D61" s="2" t="s">
        <v>87</v>
      </c>
      <c r="E61" s="20"/>
      <c r="F61" s="20"/>
      <c r="G61" s="20"/>
      <c r="H61" s="20"/>
      <c r="I61" s="2" t="s">
        <v>88</v>
      </c>
      <c r="J61" s="20"/>
      <c r="K61" s="20"/>
      <c r="L61" s="20"/>
      <c r="M61" s="20"/>
      <c r="N61" s="20"/>
      <c r="O61" s="20"/>
      <c r="P61" s="20"/>
      <c r="Q61" s="20"/>
      <c r="R61" s="20"/>
      <c r="S61" s="20"/>
      <c r="T61" s="20"/>
      <c r="U61" s="20"/>
      <c r="V61" s="20"/>
      <c r="W61" s="20"/>
      <c r="X61" s="20"/>
      <c r="Y61" s="20"/>
      <c r="Z61" s="20"/>
    </row>
    <row r="62">
      <c r="A62" s="2" t="s">
        <v>27</v>
      </c>
      <c r="B62" s="33">
        <v>0.9</v>
      </c>
      <c r="C62" s="34">
        <f t="shared" ref="C62:C66" si="29">B62</f>
        <v>0.9</v>
      </c>
      <c r="D62" s="34">
        <f>0.2*0.9</f>
        <v>0.18</v>
      </c>
      <c r="E62" s="20"/>
      <c r="F62" s="20"/>
      <c r="G62" s="20"/>
      <c r="H62" s="20"/>
      <c r="I62" s="2" t="s">
        <v>89</v>
      </c>
      <c r="J62" s="20"/>
      <c r="K62" s="20"/>
      <c r="L62" s="20"/>
      <c r="M62" s="20"/>
      <c r="N62" s="20"/>
      <c r="O62" s="20"/>
      <c r="P62" s="20"/>
      <c r="Q62" s="20"/>
      <c r="R62" s="20"/>
      <c r="S62" s="20"/>
      <c r="T62" s="20"/>
      <c r="U62" s="20"/>
      <c r="V62" s="20"/>
      <c r="W62" s="20"/>
      <c r="X62" s="20"/>
      <c r="Y62" s="20"/>
      <c r="Z62" s="20"/>
    </row>
    <row r="63">
      <c r="A63" s="2" t="s">
        <v>28</v>
      </c>
      <c r="B63" s="33">
        <v>0.07</v>
      </c>
      <c r="C63" s="34">
        <f t="shared" si="29"/>
        <v>0.07</v>
      </c>
      <c r="D63" s="34">
        <f>0.2*0.07</f>
        <v>0.014</v>
      </c>
      <c r="E63" s="20"/>
      <c r="F63" s="20"/>
      <c r="G63" s="20"/>
      <c r="H63" s="20"/>
      <c r="I63" s="2" t="s">
        <v>90</v>
      </c>
      <c r="J63" s="20"/>
      <c r="K63" s="20"/>
      <c r="L63" s="20"/>
      <c r="M63" s="20"/>
      <c r="N63" s="20"/>
      <c r="O63" s="20"/>
      <c r="P63" s="20"/>
      <c r="Q63" s="20"/>
      <c r="R63" s="20"/>
      <c r="S63" s="20"/>
      <c r="T63" s="20"/>
      <c r="U63" s="20"/>
      <c r="V63" s="20"/>
      <c r="W63" s="20"/>
      <c r="X63" s="20"/>
      <c r="Y63" s="20"/>
      <c r="Z63" s="20"/>
    </row>
    <row r="64">
      <c r="A64" s="2" t="s">
        <v>29</v>
      </c>
      <c r="B64" s="33">
        <v>0.025</v>
      </c>
      <c r="C64" s="34">
        <f t="shared" si="29"/>
        <v>0.025</v>
      </c>
      <c r="D64" s="34">
        <f>0.2*0.025+0.15*0.8</f>
        <v>0.125</v>
      </c>
      <c r="E64" s="20"/>
      <c r="F64" s="20"/>
      <c r="G64" s="20"/>
      <c r="H64" s="20"/>
      <c r="I64" s="20"/>
      <c r="J64" s="20"/>
      <c r="K64" s="20"/>
      <c r="L64" s="20"/>
      <c r="M64" s="20"/>
      <c r="N64" s="20"/>
      <c r="O64" s="20"/>
      <c r="P64" s="20"/>
      <c r="Q64" s="20"/>
      <c r="R64" s="20"/>
      <c r="S64" s="20"/>
      <c r="T64" s="20"/>
      <c r="U64" s="20"/>
      <c r="V64" s="20"/>
      <c r="W64" s="20"/>
      <c r="X64" s="20"/>
      <c r="Y64" s="20"/>
      <c r="Z64" s="20"/>
    </row>
    <row r="65">
      <c r="A65" s="2" t="s">
        <v>30</v>
      </c>
      <c r="B65" s="33">
        <v>0.005</v>
      </c>
      <c r="C65" s="34">
        <f t="shared" si="29"/>
        <v>0.005</v>
      </c>
      <c r="D65" s="33">
        <f>0.005*0.2+0.8*0.85</f>
        <v>0.681</v>
      </c>
      <c r="E65" s="20"/>
      <c r="F65" s="20"/>
      <c r="G65" s="20"/>
      <c r="H65" s="20"/>
      <c r="I65" s="20"/>
      <c r="J65" s="20"/>
      <c r="K65" s="20"/>
      <c r="L65" s="20"/>
      <c r="M65" s="20"/>
      <c r="N65" s="20"/>
      <c r="O65" s="20"/>
      <c r="P65" s="20"/>
      <c r="Q65" s="20"/>
      <c r="R65" s="20"/>
      <c r="S65" s="20"/>
      <c r="T65" s="20"/>
      <c r="U65" s="20"/>
      <c r="V65" s="20"/>
      <c r="W65" s="20"/>
      <c r="X65" s="20"/>
      <c r="Y65" s="20"/>
      <c r="Z65" s="20"/>
    </row>
    <row r="66">
      <c r="A66" s="2" t="s">
        <v>31</v>
      </c>
      <c r="B66" s="33">
        <v>0.0</v>
      </c>
      <c r="C66" s="34">
        <f t="shared" si="29"/>
        <v>0</v>
      </c>
      <c r="D66" s="33">
        <v>0.0</v>
      </c>
      <c r="E66" s="20"/>
      <c r="F66" s="20"/>
      <c r="G66" s="20"/>
      <c r="H66" s="20"/>
      <c r="I66" s="20"/>
      <c r="J66" s="20"/>
      <c r="K66" s="20"/>
      <c r="L66" s="20"/>
      <c r="M66" s="20"/>
      <c r="N66" s="20"/>
      <c r="O66" s="20"/>
      <c r="P66" s="20"/>
      <c r="Q66" s="20"/>
      <c r="R66" s="20"/>
      <c r="S66" s="20"/>
      <c r="T66" s="20"/>
      <c r="U66" s="20"/>
      <c r="V66" s="20"/>
      <c r="W66" s="20"/>
      <c r="X66" s="20"/>
      <c r="Y66" s="20"/>
      <c r="Z66" s="20"/>
    </row>
    <row r="67">
      <c r="A67" s="2" t="s">
        <v>32</v>
      </c>
      <c r="B67" s="33">
        <v>0.0</v>
      </c>
      <c r="C67" s="33">
        <v>0.0</v>
      </c>
      <c r="D67" s="33">
        <v>0.0</v>
      </c>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row>
    <row r="1007">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row>
    <row r="1008">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row>
    <row r="1009">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row>
    <row r="1011">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row>
    <row r="1012">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row>
    <row r="1013">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row>
    <row r="1014">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row>
    <row r="1015">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row>
    <row r="1016">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row>
  </sheetData>
  <mergeCells count="2">
    <mergeCell ref="C35:E35"/>
    <mergeCell ref="C41:E41"/>
  </mergeCells>
  <hyperlinks>
    <hyperlink r:id="rId2" ref="C32"/>
    <hyperlink r:id="rId3" ref="C33"/>
    <hyperlink r:id="rId4" ref="B36"/>
    <hyperlink r:id="rId5" ref="A49"/>
    <hyperlink r:id="rId6" ref="I49"/>
    <hyperlink r:id="rId7" ref="I50"/>
  </hyperlinks>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min="3" max="4" width="14.5"/>
    <col customWidth="1" min="9" max="9" width="25.63"/>
    <col customWidth="1" min="10" max="10" width="31.88"/>
    <col customWidth="1" min="11" max="11" width="31.25"/>
    <col customWidth="1" min="12" max="12" width="32.63"/>
  </cols>
  <sheetData>
    <row r="1">
      <c r="A1" s="2" t="s">
        <v>91</v>
      </c>
      <c r="C1" s="2" t="s">
        <v>92</v>
      </c>
      <c r="D1" s="2"/>
      <c r="E1" s="2"/>
      <c r="F1" s="2"/>
      <c r="G1" s="35"/>
      <c r="H1" s="20"/>
      <c r="I1" s="2" t="s">
        <v>4</v>
      </c>
      <c r="J1" s="20"/>
      <c r="K1" s="20"/>
      <c r="L1" s="20"/>
      <c r="M1" s="20"/>
      <c r="N1" s="20"/>
      <c r="O1" s="20"/>
      <c r="P1" s="20"/>
      <c r="Q1" s="20"/>
      <c r="R1" s="20"/>
      <c r="S1" s="20"/>
      <c r="T1" s="20"/>
      <c r="U1" s="20"/>
      <c r="V1" s="20"/>
    </row>
    <row r="2">
      <c r="A2" s="20"/>
      <c r="B2" s="29" t="s">
        <v>93</v>
      </c>
      <c r="C2" s="2" t="s">
        <v>94</v>
      </c>
      <c r="D2" s="2" t="s">
        <v>95</v>
      </c>
      <c r="E2" s="2" t="s">
        <v>96</v>
      </c>
      <c r="F2" s="2" t="s">
        <v>97</v>
      </c>
      <c r="G2" s="35" t="s">
        <v>98</v>
      </c>
      <c r="H2" s="20"/>
      <c r="I2" s="2" t="s">
        <v>99</v>
      </c>
      <c r="J2" s="2" t="s">
        <v>77</v>
      </c>
      <c r="K2" s="2" t="s">
        <v>100</v>
      </c>
      <c r="L2" s="2" t="s">
        <v>78</v>
      </c>
      <c r="M2" s="20"/>
      <c r="N2" s="20"/>
      <c r="O2" s="20"/>
      <c r="P2" s="20"/>
      <c r="Q2" s="20"/>
      <c r="R2" s="20"/>
      <c r="S2" s="20"/>
      <c r="T2" s="20"/>
      <c r="U2" s="20"/>
      <c r="V2" s="20"/>
    </row>
    <row r="3">
      <c r="A3" s="36" t="s">
        <v>101</v>
      </c>
      <c r="B3" s="37">
        <v>0.38</v>
      </c>
      <c r="C3" s="37">
        <f>0.09+0.09*0.58</f>
        <v>0.1422</v>
      </c>
      <c r="D3" s="38">
        <f>(1-C3)*(0.59+0.09)</f>
        <v>0.583304</v>
      </c>
      <c r="E3" s="39">
        <f>(1-C3)*(0.32)</f>
        <v>0.274496</v>
      </c>
      <c r="F3" s="40">
        <f t="shared" ref="F3:F11" si="1">SUM(C3:E3)</f>
        <v>1</v>
      </c>
      <c r="G3" s="41">
        <v>116.0</v>
      </c>
      <c r="H3" s="42"/>
      <c r="I3" s="2" t="s">
        <v>102</v>
      </c>
      <c r="J3" s="29" t="s">
        <v>103</v>
      </c>
      <c r="K3" s="29" t="s">
        <v>104</v>
      </c>
      <c r="L3" s="29" t="s">
        <v>105</v>
      </c>
      <c r="M3" s="20"/>
      <c r="N3" s="20"/>
      <c r="O3" s="20"/>
      <c r="P3" s="20"/>
      <c r="Q3" s="20"/>
      <c r="R3" s="20"/>
      <c r="S3" s="20"/>
      <c r="T3" s="20"/>
      <c r="U3" s="20"/>
      <c r="V3" s="20"/>
    </row>
    <row r="4">
      <c r="A4" s="36" t="s">
        <v>106</v>
      </c>
      <c r="B4" s="37">
        <v>0.12</v>
      </c>
      <c r="C4" s="43">
        <f>0.06+0.007</f>
        <v>0.067</v>
      </c>
      <c r="D4" s="38">
        <f>(1-C4)*(0.66+0.1)</f>
        <v>0.70908</v>
      </c>
      <c r="E4" s="37">
        <f>(1-C4)*(0.22+0.02)</f>
        <v>0.22392</v>
      </c>
      <c r="F4" s="40">
        <f t="shared" si="1"/>
        <v>1</v>
      </c>
      <c r="G4" s="41">
        <v>116.0</v>
      </c>
      <c r="H4" s="42"/>
      <c r="I4" s="20"/>
      <c r="J4" s="29" t="s">
        <v>107</v>
      </c>
      <c r="K4" s="29" t="s">
        <v>108</v>
      </c>
      <c r="L4" s="29" t="s">
        <v>109</v>
      </c>
      <c r="M4" s="20"/>
      <c r="N4" s="20"/>
      <c r="O4" s="20"/>
      <c r="P4" s="20"/>
      <c r="Q4" s="20"/>
      <c r="R4" s="20"/>
      <c r="S4" s="20"/>
      <c r="T4" s="20"/>
      <c r="U4" s="20"/>
      <c r="V4" s="20"/>
    </row>
    <row r="5">
      <c r="A5" s="36" t="s">
        <v>110</v>
      </c>
      <c r="B5" s="37">
        <v>0.09</v>
      </c>
      <c r="C5" s="43">
        <f>0.059-0.02</f>
        <v>0.039</v>
      </c>
      <c r="D5" s="39">
        <f>(1-C5)*(44059/52937)</f>
        <v>0.7998318567</v>
      </c>
      <c r="E5" s="39">
        <f>(1-C5)*(8878/52937)</f>
        <v>0.1611681433</v>
      </c>
      <c r="F5" s="40">
        <f t="shared" si="1"/>
        <v>1</v>
      </c>
      <c r="G5" s="41">
        <v>118.0</v>
      </c>
      <c r="H5" s="42"/>
      <c r="I5" s="20"/>
      <c r="J5" s="29" t="s">
        <v>111</v>
      </c>
      <c r="K5" s="29" t="s">
        <v>112</v>
      </c>
      <c r="L5" s="29" t="s">
        <v>113</v>
      </c>
      <c r="M5" s="20"/>
      <c r="N5" s="20"/>
      <c r="O5" s="20"/>
      <c r="P5" s="20"/>
      <c r="Q5" s="20"/>
      <c r="R5" s="20"/>
      <c r="S5" s="20"/>
      <c r="T5" s="20"/>
      <c r="U5" s="20"/>
      <c r="V5" s="20"/>
    </row>
    <row r="6">
      <c r="A6" s="36" t="s">
        <v>114</v>
      </c>
      <c r="B6" s="37">
        <v>0.09</v>
      </c>
      <c r="C6" s="39">
        <f>128/(2119+966+128+1426)</f>
        <v>0.02759215348</v>
      </c>
      <c r="D6" s="39">
        <f>(2119+966)/(2119+966+128+1426)</f>
        <v>0.6650140116</v>
      </c>
      <c r="E6" s="39">
        <f>1426/(2119+966+128+1426)</f>
        <v>0.3073938349</v>
      </c>
      <c r="F6" s="40">
        <f t="shared" si="1"/>
        <v>1</v>
      </c>
      <c r="G6" s="41">
        <v>108.0</v>
      </c>
      <c r="H6" s="42"/>
      <c r="I6" s="2" t="s">
        <v>115</v>
      </c>
      <c r="J6" s="29" t="s">
        <v>116</v>
      </c>
      <c r="K6" s="29" t="s">
        <v>117</v>
      </c>
      <c r="L6" s="29" t="s">
        <v>118</v>
      </c>
      <c r="M6" s="20"/>
      <c r="N6" s="20"/>
      <c r="O6" s="20"/>
      <c r="P6" s="20"/>
      <c r="Q6" s="20"/>
      <c r="R6" s="20"/>
      <c r="S6" s="20"/>
      <c r="T6" s="20"/>
      <c r="U6" s="20"/>
      <c r="V6" s="20"/>
    </row>
    <row r="7">
      <c r="A7" s="36" t="s">
        <v>119</v>
      </c>
      <c r="B7" s="37">
        <v>0.07</v>
      </c>
      <c r="C7" s="39">
        <f>0.06+0.09*0.58+0.09*0.58</f>
        <v>0.1644</v>
      </c>
      <c r="D7" s="39">
        <f>(1-C7)*0.8</f>
        <v>0.66848</v>
      </c>
      <c r="E7" s="39">
        <f>(1-C7)*0.2</f>
        <v>0.16712</v>
      </c>
      <c r="F7" s="40">
        <f t="shared" si="1"/>
        <v>1</v>
      </c>
      <c r="G7" s="41">
        <v>119.0</v>
      </c>
      <c r="H7" s="42"/>
      <c r="I7" s="20"/>
      <c r="J7" s="29" t="s">
        <v>120</v>
      </c>
      <c r="K7" s="29" t="s">
        <v>121</v>
      </c>
      <c r="L7" s="29" t="s">
        <v>122</v>
      </c>
      <c r="M7" s="20"/>
      <c r="N7" s="20"/>
      <c r="O7" s="20"/>
      <c r="P7" s="20"/>
      <c r="Q7" s="20"/>
      <c r="R7" s="20"/>
      <c r="S7" s="20"/>
      <c r="T7" s="20"/>
      <c r="U7" s="20"/>
      <c r="V7" s="20"/>
    </row>
    <row r="8">
      <c r="A8" s="36" t="s">
        <v>123</v>
      </c>
      <c r="B8" s="37">
        <v>0.07</v>
      </c>
      <c r="C8" s="44">
        <v>0.58</v>
      </c>
      <c r="D8" s="37">
        <v>0.0</v>
      </c>
      <c r="E8" s="37">
        <f>0.34+0.08</f>
        <v>0.42</v>
      </c>
      <c r="F8" s="40">
        <f t="shared" si="1"/>
        <v>1</v>
      </c>
      <c r="G8" s="41">
        <v>116.0</v>
      </c>
      <c r="H8" s="42"/>
      <c r="I8" s="20"/>
      <c r="J8" s="29" t="s">
        <v>124</v>
      </c>
      <c r="K8" s="2" t="s">
        <v>125</v>
      </c>
      <c r="L8" s="2" t="s">
        <v>126</v>
      </c>
      <c r="M8" s="20"/>
      <c r="N8" s="20"/>
      <c r="O8" s="20"/>
      <c r="P8" s="20"/>
      <c r="Q8" s="20"/>
      <c r="R8" s="20"/>
      <c r="S8" s="20"/>
      <c r="T8" s="20"/>
      <c r="U8" s="20"/>
      <c r="V8" s="20"/>
    </row>
    <row r="9">
      <c r="A9" s="36" t="s">
        <v>127</v>
      </c>
      <c r="B9" s="37">
        <v>0.03</v>
      </c>
      <c r="C9" s="39">
        <f>'Cash Transfers Value'!F36</f>
        <v>0.09090909091</v>
      </c>
      <c r="D9" s="39">
        <f>'Cash Transfers Value'!F35</f>
        <v>0.09305474292</v>
      </c>
      <c r="E9" s="39">
        <f>'Cash Transfers Value'!F34</f>
        <v>0.8160361662</v>
      </c>
      <c r="F9" s="40">
        <f t="shared" si="1"/>
        <v>1</v>
      </c>
      <c r="G9" s="41">
        <v>116.0</v>
      </c>
      <c r="H9" s="42"/>
      <c r="I9" s="2" t="s">
        <v>128</v>
      </c>
      <c r="J9" s="2" t="s">
        <v>129</v>
      </c>
      <c r="K9" s="20"/>
      <c r="L9" s="20"/>
      <c r="M9" s="20"/>
      <c r="N9" s="20"/>
      <c r="O9" s="20"/>
      <c r="P9" s="20"/>
      <c r="Q9" s="20"/>
      <c r="R9" s="20"/>
      <c r="S9" s="20"/>
      <c r="T9" s="20"/>
      <c r="U9" s="20"/>
      <c r="V9" s="20"/>
    </row>
    <row r="10">
      <c r="A10" s="36" t="s">
        <v>130</v>
      </c>
      <c r="B10" s="37">
        <v>0.02</v>
      </c>
      <c r="C10" s="39">
        <f>(0.0439+0.0063+0.23)/0.7002</f>
        <v>0.4001713796</v>
      </c>
      <c r="D10" s="39">
        <f>(0.0387+0.0103+0.0906)/0.7002</f>
        <v>0.1993716081</v>
      </c>
      <c r="E10" s="39">
        <f>(0.0511+0.1913+0.038)/0.7002</f>
        <v>0.4004570123</v>
      </c>
      <c r="F10" s="40">
        <f t="shared" si="1"/>
        <v>1</v>
      </c>
      <c r="G10" s="45"/>
      <c r="H10" s="42"/>
      <c r="I10" s="20"/>
      <c r="J10" s="2" t="s">
        <v>131</v>
      </c>
      <c r="K10" s="2" t="s">
        <v>132</v>
      </c>
      <c r="L10" s="2" t="s">
        <v>133</v>
      </c>
      <c r="M10" s="20"/>
      <c r="N10" s="20"/>
      <c r="O10" s="20"/>
      <c r="P10" s="20"/>
      <c r="Q10" s="20"/>
      <c r="R10" s="20"/>
      <c r="S10" s="20"/>
      <c r="T10" s="20"/>
      <c r="U10" s="20"/>
      <c r="V10" s="20"/>
    </row>
    <row r="11">
      <c r="A11" s="46" t="s">
        <v>97</v>
      </c>
      <c r="B11" s="40">
        <f>SUM(B3:B10)</f>
        <v>0.87</v>
      </c>
      <c r="C11" s="40">
        <f>IFERROR(__xludf.DUMMYFUNCTION("AVERAGE.WEIGHTED(C3:C10, $B3:$B10)"),0.15046895877323116)</f>
        <v>0.1504689588</v>
      </c>
      <c r="D11" s="40">
        <f>IFERROR(__xludf.DUMMYFUNCTION("AVERAGE.WEIGHTED(D3:D10, $B3:$B10)"),0.5656941639123617)</f>
        <v>0.5656941639</v>
      </c>
      <c r="E11" s="40">
        <f>IFERROR(__xludf.DUMMYFUNCTION("AVERAGE.WEIGHTED(E3:E10, $B3:$B10)"),0.2838368773144071)</f>
        <v>0.2838368773</v>
      </c>
      <c r="F11" s="40">
        <f t="shared" si="1"/>
        <v>1</v>
      </c>
      <c r="G11" s="45"/>
      <c r="H11" s="42"/>
      <c r="I11" s="20"/>
      <c r="J11" s="20"/>
      <c r="K11" s="20"/>
      <c r="L11" s="20"/>
      <c r="M11" s="20"/>
      <c r="N11" s="20"/>
      <c r="O11" s="20"/>
      <c r="P11" s="20"/>
      <c r="Q11" s="20"/>
      <c r="R11" s="20"/>
      <c r="S11" s="20"/>
      <c r="T11" s="20"/>
      <c r="U11" s="20"/>
      <c r="V11" s="20"/>
    </row>
    <row r="12">
      <c r="A12" s="2" t="s">
        <v>134</v>
      </c>
      <c r="B12" s="47">
        <v>0.04</v>
      </c>
      <c r="C12" s="48"/>
      <c r="D12" s="48"/>
      <c r="E12" s="48"/>
      <c r="F12" s="48"/>
      <c r="G12" s="48"/>
      <c r="H12" s="20"/>
      <c r="I12" s="2" t="s">
        <v>135</v>
      </c>
      <c r="J12" s="20"/>
      <c r="K12" s="20"/>
      <c r="L12" s="20"/>
      <c r="M12" s="20"/>
      <c r="N12" s="20"/>
      <c r="O12" s="20"/>
      <c r="P12" s="20"/>
      <c r="Q12" s="20"/>
      <c r="R12" s="20"/>
      <c r="S12" s="20"/>
      <c r="T12" s="20"/>
      <c r="U12" s="20"/>
      <c r="V12" s="20"/>
    </row>
    <row r="13">
      <c r="A13" s="2" t="s">
        <v>136</v>
      </c>
      <c r="B13" s="47">
        <v>0.08</v>
      </c>
      <c r="C13" s="48"/>
      <c r="D13" s="48"/>
      <c r="E13" s="48"/>
      <c r="F13" s="48"/>
      <c r="G13" s="48"/>
      <c r="H13" s="20"/>
      <c r="I13" s="2" t="s">
        <v>135</v>
      </c>
      <c r="J13" s="20"/>
      <c r="K13" s="20"/>
      <c r="L13" s="20"/>
      <c r="M13" s="20"/>
      <c r="N13" s="20"/>
      <c r="O13" s="20"/>
      <c r="P13" s="20"/>
      <c r="Q13" s="20"/>
      <c r="R13" s="20"/>
      <c r="S13" s="20"/>
      <c r="T13" s="20"/>
      <c r="U13" s="20"/>
      <c r="V13" s="20"/>
    </row>
    <row r="14">
      <c r="A14" s="20"/>
      <c r="B14" s="48"/>
      <c r="C14" s="48"/>
      <c r="D14" s="48"/>
      <c r="E14" s="48"/>
      <c r="F14" s="48"/>
      <c r="G14" s="48"/>
      <c r="H14" s="20"/>
      <c r="I14" s="20"/>
      <c r="J14" s="20"/>
      <c r="K14" s="20"/>
      <c r="L14" s="20"/>
      <c r="M14" s="20"/>
      <c r="N14" s="20"/>
      <c r="O14" s="20"/>
      <c r="P14" s="20"/>
      <c r="Q14" s="20"/>
      <c r="R14" s="20"/>
      <c r="S14" s="20"/>
      <c r="T14" s="20"/>
      <c r="U14" s="20"/>
      <c r="V14" s="20"/>
    </row>
    <row r="15">
      <c r="A15" s="20"/>
      <c r="B15" s="20"/>
      <c r="C15" s="20"/>
      <c r="D15" s="20"/>
      <c r="E15" s="20"/>
      <c r="F15" s="20"/>
      <c r="G15" s="20"/>
      <c r="H15" s="20"/>
      <c r="I15" s="20"/>
      <c r="J15" s="20"/>
      <c r="K15" s="20"/>
      <c r="L15" s="20"/>
      <c r="M15" s="20"/>
      <c r="N15" s="20"/>
      <c r="O15" s="20"/>
      <c r="P15" s="20"/>
      <c r="Q15" s="20"/>
      <c r="R15" s="20"/>
      <c r="S15" s="20"/>
      <c r="T15" s="20"/>
      <c r="U15" s="20"/>
      <c r="V15" s="20"/>
    </row>
    <row r="16">
      <c r="A16" s="20"/>
      <c r="B16" s="20"/>
      <c r="C16" s="20"/>
      <c r="D16" s="20"/>
      <c r="E16" s="20"/>
      <c r="F16" s="20"/>
      <c r="G16" s="20"/>
      <c r="H16" s="20"/>
      <c r="I16" s="20"/>
      <c r="J16" s="20"/>
      <c r="K16" s="20"/>
      <c r="L16" s="20"/>
      <c r="M16" s="20"/>
      <c r="N16" s="20"/>
      <c r="O16" s="20"/>
      <c r="P16" s="20"/>
      <c r="Q16" s="20"/>
      <c r="R16" s="20"/>
      <c r="S16" s="20"/>
      <c r="T16" s="20"/>
      <c r="U16" s="20"/>
      <c r="V16" s="20"/>
    </row>
    <row r="17">
      <c r="A17" s="20"/>
      <c r="B17" s="20"/>
      <c r="C17" s="20"/>
      <c r="D17" s="20"/>
      <c r="E17" s="20"/>
      <c r="F17" s="20"/>
      <c r="G17" s="20"/>
      <c r="H17" s="20"/>
      <c r="I17" s="20"/>
      <c r="J17" s="20"/>
      <c r="K17" s="20"/>
      <c r="L17" s="20"/>
      <c r="M17" s="20"/>
      <c r="N17" s="20"/>
      <c r="O17" s="20"/>
      <c r="P17" s="20"/>
      <c r="Q17" s="20"/>
      <c r="R17" s="20"/>
      <c r="S17" s="20"/>
      <c r="T17" s="20"/>
      <c r="U17" s="20"/>
      <c r="V17" s="20"/>
    </row>
    <row r="18">
      <c r="A18" s="20"/>
      <c r="B18" s="20"/>
      <c r="C18" s="20"/>
      <c r="D18" s="20"/>
      <c r="E18" s="20"/>
      <c r="F18" s="20"/>
      <c r="G18" s="20"/>
      <c r="H18" s="20"/>
      <c r="I18" s="20"/>
      <c r="J18" s="20"/>
      <c r="K18" s="20"/>
      <c r="L18" s="20"/>
      <c r="M18" s="20"/>
      <c r="N18" s="20"/>
      <c r="O18" s="20"/>
      <c r="P18" s="20"/>
      <c r="Q18" s="20"/>
      <c r="R18" s="20"/>
      <c r="S18" s="20"/>
      <c r="T18" s="20"/>
      <c r="U18" s="20"/>
      <c r="V18" s="20"/>
    </row>
    <row r="19">
      <c r="A19" s="20"/>
      <c r="B19" s="20"/>
      <c r="C19" s="20"/>
      <c r="D19" s="20"/>
      <c r="E19" s="20"/>
      <c r="F19" s="20"/>
      <c r="G19" s="20"/>
      <c r="H19" s="20"/>
      <c r="I19" s="20"/>
      <c r="J19" s="20"/>
      <c r="K19" s="20"/>
      <c r="L19" s="20"/>
      <c r="M19" s="20"/>
      <c r="N19" s="20"/>
      <c r="O19" s="20"/>
      <c r="P19" s="20"/>
      <c r="Q19" s="20"/>
      <c r="R19" s="20"/>
      <c r="S19" s="20"/>
      <c r="T19" s="20"/>
      <c r="U19" s="20"/>
      <c r="V19" s="20"/>
    </row>
    <row r="20">
      <c r="A20" s="20"/>
      <c r="B20" s="20"/>
      <c r="C20" s="20"/>
      <c r="D20" s="20"/>
      <c r="E20" s="20"/>
      <c r="F20" s="20"/>
      <c r="G20" s="20"/>
      <c r="H20" s="20"/>
      <c r="I20" s="20"/>
      <c r="J20" s="20"/>
      <c r="K20" s="20"/>
      <c r="L20" s="20"/>
      <c r="M20" s="20"/>
      <c r="N20" s="20"/>
      <c r="O20" s="20"/>
      <c r="P20" s="20"/>
      <c r="Q20" s="20"/>
      <c r="R20" s="20"/>
      <c r="S20" s="20"/>
      <c r="T20" s="20"/>
      <c r="U20" s="20"/>
      <c r="V20" s="20"/>
    </row>
    <row r="21">
      <c r="A21" s="20"/>
      <c r="B21" s="20"/>
      <c r="C21" s="20"/>
      <c r="D21" s="20"/>
      <c r="E21" s="20"/>
      <c r="F21" s="20"/>
      <c r="G21" s="20"/>
      <c r="H21" s="20"/>
      <c r="I21" s="20"/>
      <c r="J21" s="20"/>
      <c r="K21" s="20"/>
      <c r="L21" s="20"/>
      <c r="M21" s="20"/>
      <c r="N21" s="20"/>
      <c r="O21" s="20"/>
      <c r="P21" s="20"/>
      <c r="Q21" s="20"/>
      <c r="R21" s="20"/>
      <c r="S21" s="20"/>
      <c r="T21" s="20"/>
      <c r="U21" s="20"/>
      <c r="V21" s="20"/>
    </row>
    <row r="22">
      <c r="A22" s="20"/>
      <c r="B22" s="20"/>
      <c r="C22" s="20"/>
      <c r="D22" s="20"/>
      <c r="E22" s="20"/>
      <c r="F22" s="20"/>
      <c r="G22" s="20"/>
      <c r="H22" s="20"/>
      <c r="I22" s="20"/>
      <c r="J22" s="20"/>
      <c r="K22" s="20"/>
      <c r="L22" s="20"/>
      <c r="M22" s="20"/>
      <c r="N22" s="20"/>
      <c r="O22" s="20"/>
      <c r="P22" s="20"/>
      <c r="Q22" s="20"/>
      <c r="R22" s="20"/>
      <c r="S22" s="20"/>
      <c r="T22" s="20"/>
      <c r="U22" s="20"/>
      <c r="V22" s="20"/>
    </row>
    <row r="23">
      <c r="A23" s="20"/>
      <c r="B23" s="20"/>
      <c r="C23" s="20"/>
      <c r="D23" s="20"/>
      <c r="E23" s="20"/>
      <c r="F23" s="20"/>
      <c r="G23" s="20"/>
      <c r="H23" s="20"/>
      <c r="I23" s="20"/>
      <c r="J23" s="20"/>
      <c r="K23" s="20"/>
      <c r="L23" s="20"/>
      <c r="M23" s="20"/>
      <c r="N23" s="20"/>
      <c r="O23" s="20"/>
      <c r="P23" s="20"/>
      <c r="Q23" s="20"/>
      <c r="R23" s="20"/>
      <c r="S23" s="20"/>
      <c r="T23" s="20"/>
      <c r="U23" s="20"/>
      <c r="V23" s="20"/>
    </row>
    <row r="24">
      <c r="A24" s="20"/>
      <c r="B24" s="20"/>
      <c r="C24" s="20"/>
      <c r="D24" s="20"/>
      <c r="E24" s="20"/>
      <c r="F24" s="20"/>
      <c r="G24" s="20"/>
      <c r="H24" s="20"/>
      <c r="I24" s="20"/>
      <c r="J24" s="20"/>
      <c r="K24" s="20"/>
      <c r="L24" s="20"/>
      <c r="M24" s="20"/>
      <c r="N24" s="20"/>
      <c r="O24" s="20"/>
      <c r="P24" s="20"/>
      <c r="Q24" s="20"/>
      <c r="R24" s="20"/>
      <c r="S24" s="20"/>
      <c r="T24" s="20"/>
      <c r="U24" s="20"/>
      <c r="V24" s="20"/>
    </row>
    <row r="25">
      <c r="A25" s="20"/>
      <c r="B25" s="20"/>
      <c r="C25" s="20"/>
      <c r="D25" s="20"/>
      <c r="E25" s="20"/>
      <c r="F25" s="20"/>
      <c r="G25" s="20"/>
      <c r="H25" s="20"/>
      <c r="I25" s="20"/>
      <c r="J25" s="20"/>
      <c r="K25" s="20"/>
      <c r="L25" s="20"/>
      <c r="M25" s="20"/>
      <c r="N25" s="20"/>
      <c r="O25" s="20"/>
      <c r="P25" s="20"/>
      <c r="Q25" s="20"/>
      <c r="R25" s="20"/>
      <c r="S25" s="20"/>
      <c r="T25" s="20"/>
      <c r="U25" s="20"/>
      <c r="V25" s="20"/>
    </row>
    <row r="26">
      <c r="A26" s="20"/>
      <c r="B26" s="20"/>
      <c r="C26" s="20"/>
      <c r="D26" s="20"/>
      <c r="E26" s="20"/>
      <c r="F26" s="20"/>
      <c r="G26" s="20"/>
      <c r="H26" s="20"/>
      <c r="I26" s="20"/>
      <c r="J26" s="20"/>
      <c r="K26" s="20"/>
      <c r="L26" s="20"/>
      <c r="M26" s="20"/>
      <c r="N26" s="20"/>
      <c r="O26" s="20"/>
      <c r="P26" s="20"/>
      <c r="Q26" s="20"/>
      <c r="R26" s="20"/>
      <c r="S26" s="20"/>
      <c r="T26" s="20"/>
      <c r="U26" s="20"/>
      <c r="V26" s="20"/>
    </row>
    <row r="27">
      <c r="A27" s="20"/>
      <c r="B27" s="20"/>
      <c r="C27" s="20"/>
      <c r="D27" s="20"/>
      <c r="E27" s="20"/>
      <c r="F27" s="20"/>
      <c r="G27" s="20"/>
      <c r="H27" s="20"/>
      <c r="I27" s="20"/>
      <c r="J27" s="20"/>
      <c r="K27" s="20"/>
      <c r="L27" s="20"/>
      <c r="M27" s="20"/>
      <c r="N27" s="20"/>
      <c r="O27" s="20"/>
      <c r="P27" s="20"/>
      <c r="Q27" s="20"/>
      <c r="R27" s="20"/>
      <c r="S27" s="20"/>
      <c r="T27" s="20"/>
      <c r="U27" s="20"/>
      <c r="V27" s="20"/>
    </row>
    <row r="28">
      <c r="A28" s="20"/>
      <c r="B28" s="20"/>
      <c r="C28" s="20"/>
      <c r="D28" s="20"/>
      <c r="E28" s="20"/>
      <c r="F28" s="20"/>
      <c r="G28" s="20"/>
      <c r="H28" s="20"/>
      <c r="I28" s="20"/>
      <c r="J28" s="20"/>
      <c r="K28" s="20"/>
      <c r="L28" s="20"/>
      <c r="M28" s="20"/>
      <c r="N28" s="20"/>
      <c r="O28" s="20"/>
      <c r="P28" s="20"/>
      <c r="Q28" s="20"/>
      <c r="R28" s="20"/>
      <c r="S28" s="20"/>
      <c r="T28" s="20"/>
      <c r="U28" s="20"/>
      <c r="V28" s="20"/>
    </row>
    <row r="29">
      <c r="A29" s="20"/>
      <c r="B29" s="20"/>
      <c r="C29" s="20"/>
      <c r="D29" s="20"/>
      <c r="E29" s="20"/>
      <c r="F29" s="20"/>
      <c r="G29" s="20"/>
      <c r="H29" s="20"/>
      <c r="I29" s="20"/>
      <c r="J29" s="20"/>
      <c r="K29" s="20"/>
      <c r="L29" s="20"/>
      <c r="M29" s="20"/>
      <c r="N29" s="20"/>
      <c r="O29" s="20"/>
      <c r="P29" s="20"/>
      <c r="Q29" s="20"/>
      <c r="R29" s="20"/>
      <c r="S29" s="20"/>
      <c r="T29" s="20"/>
      <c r="U29" s="20"/>
      <c r="V29" s="20"/>
    </row>
    <row r="30">
      <c r="A30" s="20"/>
      <c r="B30" s="20"/>
      <c r="C30" s="20"/>
      <c r="D30" s="20"/>
      <c r="E30" s="20"/>
      <c r="F30" s="20"/>
      <c r="G30" s="20"/>
      <c r="H30" s="20"/>
      <c r="I30" s="20"/>
      <c r="J30" s="20"/>
      <c r="K30" s="20"/>
      <c r="L30" s="20"/>
      <c r="M30" s="20"/>
      <c r="N30" s="20"/>
      <c r="O30" s="20"/>
      <c r="P30" s="20"/>
      <c r="Q30" s="20"/>
      <c r="R30" s="20"/>
      <c r="S30" s="20"/>
      <c r="T30" s="20"/>
      <c r="U30" s="20"/>
      <c r="V30" s="20"/>
    </row>
    <row r="31">
      <c r="A31" s="20"/>
      <c r="B31" s="20"/>
      <c r="C31" s="20"/>
      <c r="D31" s="20"/>
      <c r="E31" s="20"/>
      <c r="F31" s="20"/>
      <c r="G31" s="20"/>
      <c r="H31" s="20"/>
      <c r="I31" s="20"/>
      <c r="J31" s="20"/>
      <c r="K31" s="20"/>
      <c r="L31" s="20"/>
      <c r="M31" s="20"/>
      <c r="N31" s="20"/>
      <c r="O31" s="20"/>
      <c r="P31" s="20"/>
      <c r="Q31" s="20"/>
      <c r="R31" s="20"/>
      <c r="S31" s="20"/>
      <c r="T31" s="20"/>
      <c r="U31" s="20"/>
      <c r="V31" s="20"/>
    </row>
    <row r="32">
      <c r="A32" s="20"/>
      <c r="B32" s="20"/>
      <c r="C32" s="20"/>
      <c r="D32" s="20"/>
      <c r="E32" s="20"/>
      <c r="F32" s="20"/>
      <c r="G32" s="20"/>
      <c r="H32" s="20"/>
      <c r="I32" s="20"/>
      <c r="J32" s="20"/>
      <c r="K32" s="20"/>
      <c r="L32" s="20"/>
      <c r="M32" s="20"/>
      <c r="N32" s="20"/>
      <c r="O32" s="20"/>
      <c r="P32" s="20"/>
      <c r="Q32" s="20"/>
      <c r="R32" s="20"/>
      <c r="S32" s="20"/>
      <c r="T32" s="20"/>
      <c r="U32" s="20"/>
      <c r="V32" s="20"/>
    </row>
    <row r="33">
      <c r="A33" s="20"/>
      <c r="B33" s="20"/>
      <c r="C33" s="20"/>
      <c r="D33" s="20"/>
      <c r="E33" s="20"/>
      <c r="F33" s="20"/>
      <c r="G33" s="20"/>
      <c r="H33" s="20"/>
      <c r="I33" s="20"/>
      <c r="J33" s="20"/>
      <c r="K33" s="20"/>
      <c r="L33" s="20"/>
      <c r="M33" s="20"/>
      <c r="N33" s="20"/>
      <c r="O33" s="20"/>
      <c r="P33" s="20"/>
      <c r="Q33" s="20"/>
      <c r="R33" s="20"/>
      <c r="S33" s="20"/>
      <c r="T33" s="20"/>
      <c r="U33" s="20"/>
      <c r="V33" s="20"/>
    </row>
    <row r="34">
      <c r="A34" s="20"/>
      <c r="B34" s="20"/>
      <c r="C34" s="20"/>
      <c r="D34" s="20"/>
      <c r="E34" s="20"/>
      <c r="F34" s="20"/>
      <c r="G34" s="20"/>
      <c r="H34" s="20"/>
      <c r="I34" s="20"/>
      <c r="J34" s="20"/>
      <c r="K34" s="20"/>
      <c r="L34" s="20"/>
      <c r="M34" s="20"/>
      <c r="N34" s="20"/>
      <c r="O34" s="20"/>
      <c r="P34" s="20"/>
      <c r="Q34" s="20"/>
      <c r="R34" s="20"/>
      <c r="S34" s="20"/>
      <c r="T34" s="20"/>
      <c r="U34" s="20"/>
      <c r="V34" s="20"/>
    </row>
    <row r="35">
      <c r="A35" s="20"/>
      <c r="B35" s="20"/>
      <c r="C35" s="20"/>
      <c r="D35" s="20"/>
      <c r="E35" s="20"/>
      <c r="F35" s="20"/>
      <c r="G35" s="20"/>
      <c r="H35" s="20"/>
      <c r="I35" s="20"/>
      <c r="J35" s="20"/>
      <c r="K35" s="20"/>
      <c r="L35" s="20"/>
      <c r="M35" s="20"/>
      <c r="N35" s="20"/>
      <c r="O35" s="20"/>
      <c r="P35" s="20"/>
      <c r="Q35" s="20"/>
      <c r="R35" s="20"/>
      <c r="S35" s="20"/>
      <c r="T35" s="20"/>
      <c r="U35" s="20"/>
      <c r="V35" s="20"/>
    </row>
    <row r="36">
      <c r="A36" s="20"/>
      <c r="B36" s="20"/>
      <c r="C36" s="20"/>
      <c r="D36" s="20"/>
      <c r="E36" s="20"/>
      <c r="F36" s="20"/>
      <c r="G36" s="20"/>
      <c r="H36" s="20"/>
      <c r="I36" s="20"/>
      <c r="J36" s="20"/>
      <c r="K36" s="20"/>
      <c r="L36" s="20"/>
      <c r="M36" s="20"/>
      <c r="N36" s="20"/>
      <c r="O36" s="20"/>
      <c r="P36" s="20"/>
      <c r="Q36" s="20"/>
      <c r="R36" s="20"/>
      <c r="S36" s="20"/>
      <c r="T36" s="20"/>
      <c r="U36" s="20"/>
      <c r="V36" s="20"/>
    </row>
    <row r="37">
      <c r="A37" s="20"/>
      <c r="B37" s="20"/>
      <c r="C37" s="20"/>
      <c r="D37" s="20"/>
      <c r="E37" s="20"/>
      <c r="F37" s="20"/>
      <c r="G37" s="20"/>
      <c r="H37" s="20"/>
      <c r="I37" s="20"/>
      <c r="J37" s="20"/>
      <c r="K37" s="20"/>
      <c r="L37" s="20"/>
      <c r="M37" s="20"/>
      <c r="N37" s="20"/>
      <c r="O37" s="20"/>
      <c r="P37" s="20"/>
      <c r="Q37" s="20"/>
      <c r="R37" s="20"/>
      <c r="S37" s="20"/>
      <c r="T37" s="20"/>
      <c r="U37" s="20"/>
      <c r="V37" s="20"/>
    </row>
    <row r="38">
      <c r="A38" s="20"/>
      <c r="B38" s="20"/>
      <c r="C38" s="20"/>
      <c r="D38" s="20"/>
      <c r="E38" s="20"/>
      <c r="F38" s="20"/>
      <c r="G38" s="20"/>
      <c r="H38" s="20"/>
      <c r="I38" s="20"/>
      <c r="J38" s="20"/>
      <c r="K38" s="20"/>
      <c r="L38" s="20"/>
      <c r="M38" s="20"/>
      <c r="N38" s="20"/>
      <c r="O38" s="20"/>
      <c r="P38" s="20"/>
      <c r="Q38" s="20"/>
      <c r="R38" s="20"/>
      <c r="S38" s="20"/>
      <c r="T38" s="20"/>
      <c r="U38" s="20"/>
      <c r="V38" s="20"/>
    </row>
    <row r="39">
      <c r="A39" s="20"/>
      <c r="B39" s="20"/>
      <c r="C39" s="20"/>
      <c r="D39" s="20"/>
      <c r="E39" s="20"/>
      <c r="F39" s="20"/>
      <c r="G39" s="20"/>
      <c r="H39" s="20"/>
      <c r="I39" s="20"/>
      <c r="J39" s="20"/>
      <c r="K39" s="20"/>
      <c r="L39" s="20"/>
      <c r="M39" s="20"/>
      <c r="N39" s="20"/>
      <c r="O39" s="20"/>
      <c r="P39" s="20"/>
      <c r="Q39" s="20"/>
      <c r="R39" s="20"/>
      <c r="S39" s="20"/>
      <c r="T39" s="20"/>
      <c r="U39" s="20"/>
      <c r="V39" s="20"/>
    </row>
    <row r="40">
      <c r="A40" s="20"/>
      <c r="B40" s="20"/>
      <c r="C40" s="20"/>
      <c r="D40" s="20"/>
      <c r="E40" s="20"/>
      <c r="F40" s="20"/>
      <c r="G40" s="20"/>
      <c r="H40" s="20"/>
      <c r="I40" s="20"/>
      <c r="J40" s="20"/>
      <c r="K40" s="20"/>
      <c r="L40" s="20"/>
      <c r="M40" s="20"/>
      <c r="N40" s="20"/>
      <c r="O40" s="20"/>
      <c r="P40" s="20"/>
      <c r="Q40" s="20"/>
      <c r="R40" s="20"/>
      <c r="S40" s="20"/>
      <c r="T40" s="20"/>
      <c r="U40" s="20"/>
      <c r="V40" s="20"/>
    </row>
    <row r="41">
      <c r="A41" s="20"/>
      <c r="B41" s="20"/>
      <c r="C41" s="20"/>
      <c r="D41" s="20"/>
      <c r="E41" s="20"/>
      <c r="F41" s="20"/>
      <c r="G41" s="20"/>
      <c r="H41" s="20"/>
      <c r="I41" s="20"/>
      <c r="J41" s="20"/>
      <c r="K41" s="20"/>
      <c r="L41" s="20"/>
      <c r="M41" s="20"/>
      <c r="N41" s="20"/>
      <c r="O41" s="20"/>
      <c r="P41" s="20"/>
      <c r="Q41" s="20"/>
      <c r="R41" s="20"/>
      <c r="S41" s="20"/>
      <c r="T41" s="20"/>
      <c r="U41" s="20"/>
      <c r="V41" s="20"/>
    </row>
    <row r="42">
      <c r="A42" s="20"/>
      <c r="B42" s="20"/>
      <c r="C42" s="20"/>
      <c r="D42" s="20"/>
      <c r="E42" s="20"/>
      <c r="F42" s="20"/>
      <c r="G42" s="20"/>
      <c r="H42" s="20"/>
      <c r="I42" s="20"/>
      <c r="J42" s="20"/>
      <c r="K42" s="20"/>
      <c r="L42" s="20"/>
      <c r="M42" s="20"/>
      <c r="N42" s="20"/>
      <c r="O42" s="20"/>
      <c r="P42" s="20"/>
      <c r="Q42" s="20"/>
      <c r="R42" s="20"/>
      <c r="S42" s="20"/>
      <c r="T42" s="20"/>
      <c r="U42" s="20"/>
      <c r="V42" s="20"/>
    </row>
    <row r="43">
      <c r="A43" s="20"/>
      <c r="B43" s="20"/>
      <c r="C43" s="20"/>
      <c r="D43" s="20"/>
      <c r="E43" s="20"/>
      <c r="F43" s="20"/>
      <c r="G43" s="20"/>
      <c r="H43" s="20"/>
      <c r="I43" s="20"/>
      <c r="J43" s="20"/>
      <c r="K43" s="20"/>
      <c r="L43" s="20"/>
      <c r="M43" s="20"/>
      <c r="N43" s="20"/>
      <c r="O43" s="20"/>
      <c r="P43" s="20"/>
      <c r="Q43" s="20"/>
      <c r="R43" s="20"/>
      <c r="S43" s="20"/>
      <c r="T43" s="20"/>
      <c r="U43" s="20"/>
      <c r="V43" s="20"/>
    </row>
    <row r="44">
      <c r="A44" s="20"/>
      <c r="B44" s="20"/>
      <c r="C44" s="20"/>
      <c r="D44" s="20"/>
      <c r="E44" s="20"/>
      <c r="F44" s="20"/>
      <c r="G44" s="20"/>
      <c r="H44" s="20"/>
      <c r="I44" s="20"/>
      <c r="J44" s="20"/>
      <c r="K44" s="20"/>
      <c r="L44" s="20"/>
      <c r="M44" s="20"/>
      <c r="N44" s="20"/>
      <c r="O44" s="20"/>
      <c r="P44" s="20"/>
      <c r="Q44" s="20"/>
      <c r="R44" s="20"/>
      <c r="S44" s="20"/>
      <c r="T44" s="20"/>
      <c r="U44" s="20"/>
      <c r="V44" s="20"/>
    </row>
    <row r="45">
      <c r="A45" s="20"/>
      <c r="B45" s="20"/>
      <c r="C45" s="20"/>
      <c r="D45" s="20"/>
      <c r="E45" s="20"/>
      <c r="F45" s="20"/>
      <c r="G45" s="20"/>
      <c r="H45" s="20"/>
      <c r="I45" s="20"/>
      <c r="J45" s="20"/>
      <c r="K45" s="20"/>
      <c r="L45" s="20"/>
      <c r="M45" s="20"/>
      <c r="N45" s="20"/>
      <c r="O45" s="20"/>
      <c r="P45" s="20"/>
      <c r="Q45" s="20"/>
      <c r="R45" s="20"/>
      <c r="S45" s="20"/>
      <c r="T45" s="20"/>
      <c r="U45" s="20"/>
      <c r="V45" s="20"/>
    </row>
    <row r="46">
      <c r="A46" s="20"/>
      <c r="B46" s="20"/>
      <c r="C46" s="20"/>
      <c r="D46" s="20"/>
      <c r="E46" s="20"/>
      <c r="F46" s="20"/>
      <c r="G46" s="20"/>
      <c r="H46" s="20"/>
      <c r="I46" s="20"/>
      <c r="J46" s="20"/>
      <c r="K46" s="20"/>
      <c r="L46" s="20"/>
      <c r="M46" s="20"/>
      <c r="N46" s="20"/>
      <c r="O46" s="20"/>
      <c r="P46" s="20"/>
      <c r="Q46" s="20"/>
      <c r="R46" s="20"/>
      <c r="S46" s="20"/>
      <c r="T46" s="20"/>
      <c r="U46" s="20"/>
      <c r="V46" s="20"/>
    </row>
    <row r="47">
      <c r="A47" s="20"/>
      <c r="B47" s="20"/>
      <c r="C47" s="20"/>
      <c r="D47" s="20"/>
      <c r="E47" s="20"/>
      <c r="F47" s="20"/>
      <c r="G47" s="20"/>
      <c r="H47" s="20"/>
      <c r="I47" s="20"/>
      <c r="J47" s="20"/>
      <c r="K47" s="20"/>
      <c r="L47" s="20"/>
      <c r="M47" s="20"/>
      <c r="N47" s="20"/>
      <c r="O47" s="20"/>
      <c r="P47" s="20"/>
      <c r="Q47" s="20"/>
      <c r="R47" s="20"/>
      <c r="S47" s="20"/>
      <c r="T47" s="20"/>
      <c r="U47" s="20"/>
      <c r="V47" s="20"/>
    </row>
    <row r="48">
      <c r="A48" s="20"/>
      <c r="B48" s="20"/>
      <c r="C48" s="20"/>
      <c r="D48" s="20"/>
      <c r="E48" s="20"/>
      <c r="F48" s="20"/>
      <c r="G48" s="20"/>
      <c r="H48" s="20"/>
      <c r="I48" s="20"/>
      <c r="J48" s="20"/>
      <c r="K48" s="20"/>
      <c r="L48" s="20"/>
      <c r="M48" s="20"/>
      <c r="N48" s="20"/>
      <c r="O48" s="20"/>
      <c r="P48" s="20"/>
      <c r="Q48" s="20"/>
      <c r="R48" s="20"/>
      <c r="S48" s="20"/>
      <c r="T48" s="20"/>
      <c r="U48" s="20"/>
      <c r="V48" s="20"/>
    </row>
    <row r="49">
      <c r="A49" s="20"/>
      <c r="B49" s="20"/>
      <c r="C49" s="20"/>
      <c r="D49" s="20"/>
      <c r="E49" s="20"/>
      <c r="F49" s="20"/>
      <c r="G49" s="20"/>
      <c r="H49" s="20"/>
      <c r="I49" s="20"/>
      <c r="J49" s="20"/>
      <c r="K49" s="20"/>
      <c r="L49" s="20"/>
      <c r="M49" s="20"/>
      <c r="N49" s="20"/>
      <c r="O49" s="20"/>
      <c r="P49" s="20"/>
      <c r="Q49" s="20"/>
      <c r="R49" s="20"/>
      <c r="S49" s="20"/>
      <c r="T49" s="20"/>
      <c r="U49" s="20"/>
      <c r="V49" s="20"/>
    </row>
    <row r="50">
      <c r="A50" s="20"/>
      <c r="B50" s="20"/>
      <c r="C50" s="20"/>
      <c r="D50" s="20"/>
      <c r="E50" s="20"/>
      <c r="F50" s="20"/>
      <c r="G50" s="20"/>
      <c r="H50" s="20"/>
      <c r="I50" s="20"/>
      <c r="J50" s="20"/>
      <c r="K50" s="20"/>
      <c r="L50" s="20"/>
      <c r="M50" s="20"/>
      <c r="N50" s="20"/>
      <c r="O50" s="20"/>
      <c r="P50" s="20"/>
      <c r="Q50" s="20"/>
      <c r="R50" s="20"/>
      <c r="S50" s="20"/>
      <c r="T50" s="20"/>
      <c r="U50" s="20"/>
      <c r="V50" s="20"/>
    </row>
    <row r="51">
      <c r="A51" s="20"/>
      <c r="B51" s="20"/>
      <c r="C51" s="20"/>
      <c r="D51" s="20"/>
      <c r="E51" s="20"/>
      <c r="F51" s="20"/>
      <c r="G51" s="20"/>
      <c r="H51" s="20"/>
      <c r="I51" s="20"/>
      <c r="J51" s="20"/>
      <c r="K51" s="20"/>
      <c r="L51" s="20"/>
      <c r="M51" s="20"/>
      <c r="N51" s="20"/>
      <c r="O51" s="20"/>
      <c r="P51" s="20"/>
      <c r="Q51" s="20"/>
      <c r="R51" s="20"/>
      <c r="S51" s="20"/>
      <c r="T51" s="20"/>
      <c r="U51" s="20"/>
      <c r="V51" s="20"/>
    </row>
    <row r="52">
      <c r="A52" s="20"/>
      <c r="B52" s="20"/>
      <c r="C52" s="20"/>
      <c r="D52" s="20"/>
      <c r="E52" s="20"/>
      <c r="F52" s="20"/>
      <c r="G52" s="20"/>
      <c r="H52" s="20"/>
      <c r="I52" s="20"/>
      <c r="J52" s="20"/>
      <c r="K52" s="20"/>
      <c r="L52" s="20"/>
      <c r="M52" s="20"/>
      <c r="N52" s="20"/>
      <c r="O52" s="20"/>
      <c r="P52" s="20"/>
      <c r="Q52" s="20"/>
      <c r="R52" s="20"/>
      <c r="S52" s="20"/>
      <c r="T52" s="20"/>
      <c r="U52" s="20"/>
      <c r="V52" s="20"/>
    </row>
    <row r="53">
      <c r="A53" s="20"/>
      <c r="B53" s="20"/>
      <c r="C53" s="20"/>
      <c r="D53" s="20"/>
      <c r="E53" s="20"/>
      <c r="F53" s="20"/>
      <c r="G53" s="20"/>
      <c r="H53" s="20"/>
      <c r="I53" s="20"/>
      <c r="J53" s="20"/>
      <c r="K53" s="20"/>
      <c r="L53" s="20"/>
      <c r="M53" s="20"/>
      <c r="N53" s="20"/>
      <c r="O53" s="20"/>
      <c r="P53" s="20"/>
      <c r="Q53" s="20"/>
      <c r="R53" s="20"/>
      <c r="S53" s="20"/>
      <c r="T53" s="20"/>
      <c r="U53" s="20"/>
      <c r="V53" s="20"/>
    </row>
    <row r="54">
      <c r="A54" s="20"/>
      <c r="B54" s="20"/>
      <c r="C54" s="20"/>
      <c r="D54" s="20"/>
      <c r="E54" s="20"/>
      <c r="F54" s="20"/>
      <c r="G54" s="20"/>
      <c r="H54" s="20"/>
      <c r="I54" s="20"/>
      <c r="J54" s="20"/>
      <c r="K54" s="20"/>
      <c r="L54" s="20"/>
      <c r="M54" s="20"/>
      <c r="N54" s="20"/>
      <c r="O54" s="20"/>
      <c r="P54" s="20"/>
      <c r="Q54" s="20"/>
      <c r="R54" s="20"/>
      <c r="S54" s="20"/>
      <c r="T54" s="20"/>
      <c r="U54" s="20"/>
      <c r="V54" s="20"/>
    </row>
    <row r="55">
      <c r="A55" s="20"/>
      <c r="B55" s="20"/>
      <c r="C55" s="20"/>
      <c r="D55" s="20"/>
      <c r="E55" s="20"/>
      <c r="F55" s="20"/>
      <c r="G55" s="20"/>
      <c r="H55" s="20"/>
      <c r="I55" s="20"/>
      <c r="J55" s="20"/>
      <c r="K55" s="20"/>
      <c r="L55" s="20"/>
      <c r="M55" s="20"/>
      <c r="N55" s="20"/>
      <c r="O55" s="20"/>
      <c r="P55" s="20"/>
      <c r="Q55" s="20"/>
      <c r="R55" s="20"/>
      <c r="S55" s="20"/>
      <c r="T55" s="20"/>
      <c r="U55" s="20"/>
      <c r="V55" s="20"/>
    </row>
    <row r="56">
      <c r="A56" s="20"/>
      <c r="B56" s="20"/>
      <c r="C56" s="20"/>
      <c r="D56" s="20"/>
      <c r="E56" s="20"/>
      <c r="F56" s="20"/>
      <c r="G56" s="20"/>
      <c r="H56" s="20"/>
      <c r="I56" s="20"/>
      <c r="J56" s="20"/>
      <c r="K56" s="20"/>
      <c r="L56" s="20"/>
      <c r="M56" s="20"/>
      <c r="N56" s="20"/>
      <c r="O56" s="20"/>
      <c r="P56" s="20"/>
      <c r="Q56" s="20"/>
      <c r="R56" s="20"/>
      <c r="S56" s="20"/>
      <c r="T56" s="20"/>
      <c r="U56" s="20"/>
      <c r="V56" s="20"/>
    </row>
    <row r="57">
      <c r="A57" s="20"/>
      <c r="B57" s="20"/>
      <c r="C57" s="20"/>
      <c r="D57" s="20"/>
      <c r="E57" s="20"/>
      <c r="F57" s="20"/>
      <c r="G57" s="20"/>
      <c r="H57" s="20"/>
      <c r="I57" s="20"/>
      <c r="J57" s="20"/>
      <c r="K57" s="20"/>
      <c r="L57" s="20"/>
      <c r="M57" s="20"/>
      <c r="N57" s="20"/>
      <c r="O57" s="20"/>
      <c r="P57" s="20"/>
      <c r="Q57" s="20"/>
      <c r="R57" s="20"/>
      <c r="S57" s="20"/>
      <c r="T57" s="20"/>
      <c r="U57" s="20"/>
      <c r="V57" s="20"/>
    </row>
    <row r="58">
      <c r="A58" s="20"/>
      <c r="B58" s="20"/>
      <c r="C58" s="20"/>
      <c r="D58" s="20"/>
      <c r="E58" s="20"/>
      <c r="F58" s="20"/>
      <c r="G58" s="20"/>
      <c r="H58" s="20"/>
      <c r="I58" s="20"/>
      <c r="J58" s="20"/>
      <c r="K58" s="20"/>
      <c r="L58" s="20"/>
      <c r="M58" s="20"/>
      <c r="N58" s="20"/>
      <c r="O58" s="20"/>
      <c r="P58" s="20"/>
      <c r="Q58" s="20"/>
      <c r="R58" s="20"/>
      <c r="S58" s="20"/>
      <c r="T58" s="20"/>
      <c r="U58" s="20"/>
      <c r="V58" s="20"/>
    </row>
    <row r="59">
      <c r="A59" s="20"/>
      <c r="B59" s="20"/>
      <c r="C59" s="20"/>
      <c r="D59" s="20"/>
      <c r="E59" s="20"/>
      <c r="F59" s="20"/>
      <c r="G59" s="20"/>
      <c r="H59" s="20"/>
      <c r="I59" s="20"/>
      <c r="J59" s="20"/>
      <c r="K59" s="20"/>
      <c r="L59" s="20"/>
      <c r="M59" s="20"/>
      <c r="N59" s="20"/>
      <c r="O59" s="20"/>
      <c r="P59" s="20"/>
      <c r="Q59" s="20"/>
      <c r="R59" s="20"/>
      <c r="S59" s="20"/>
      <c r="T59" s="20"/>
      <c r="U59" s="20"/>
      <c r="V59" s="20"/>
    </row>
    <row r="60">
      <c r="A60" s="20"/>
      <c r="B60" s="20"/>
      <c r="C60" s="20"/>
      <c r="D60" s="20"/>
      <c r="E60" s="20"/>
      <c r="F60" s="20"/>
      <c r="G60" s="20"/>
      <c r="H60" s="20"/>
      <c r="I60" s="20"/>
      <c r="J60" s="20"/>
      <c r="K60" s="20"/>
      <c r="L60" s="20"/>
      <c r="M60" s="20"/>
      <c r="N60" s="20"/>
      <c r="O60" s="20"/>
      <c r="P60" s="20"/>
      <c r="Q60" s="20"/>
      <c r="R60" s="20"/>
      <c r="S60" s="20"/>
      <c r="T60" s="20"/>
      <c r="U60" s="20"/>
      <c r="V60" s="20"/>
    </row>
    <row r="61">
      <c r="A61" s="20"/>
      <c r="B61" s="20"/>
      <c r="C61" s="20"/>
      <c r="D61" s="20"/>
      <c r="E61" s="20"/>
      <c r="F61" s="20"/>
      <c r="G61" s="20"/>
      <c r="H61" s="20"/>
      <c r="I61" s="20"/>
      <c r="J61" s="20"/>
      <c r="K61" s="20"/>
      <c r="L61" s="20"/>
      <c r="M61" s="20"/>
      <c r="N61" s="20"/>
      <c r="O61" s="20"/>
      <c r="P61" s="20"/>
      <c r="Q61" s="20"/>
      <c r="R61" s="20"/>
      <c r="S61" s="20"/>
      <c r="T61" s="20"/>
      <c r="U61" s="20"/>
      <c r="V61" s="20"/>
    </row>
    <row r="62">
      <c r="A62" s="20"/>
      <c r="B62" s="20"/>
      <c r="C62" s="20"/>
      <c r="D62" s="20"/>
      <c r="E62" s="20"/>
      <c r="F62" s="20"/>
      <c r="G62" s="20"/>
      <c r="H62" s="20"/>
      <c r="I62" s="20"/>
      <c r="J62" s="20"/>
      <c r="K62" s="20"/>
      <c r="L62" s="20"/>
      <c r="M62" s="20"/>
      <c r="N62" s="20"/>
      <c r="O62" s="20"/>
      <c r="P62" s="20"/>
      <c r="Q62" s="20"/>
      <c r="R62" s="20"/>
      <c r="S62" s="20"/>
      <c r="T62" s="20"/>
      <c r="U62" s="20"/>
      <c r="V62" s="20"/>
    </row>
    <row r="63">
      <c r="A63" s="20"/>
      <c r="B63" s="20"/>
      <c r="C63" s="20"/>
      <c r="D63" s="20"/>
      <c r="E63" s="20"/>
      <c r="F63" s="20"/>
      <c r="G63" s="20"/>
      <c r="H63" s="20"/>
      <c r="I63" s="20"/>
      <c r="J63" s="20"/>
      <c r="K63" s="20"/>
      <c r="L63" s="20"/>
      <c r="M63" s="20"/>
      <c r="N63" s="20"/>
      <c r="O63" s="20"/>
      <c r="P63" s="20"/>
      <c r="Q63" s="20"/>
      <c r="R63" s="20"/>
      <c r="S63" s="20"/>
      <c r="T63" s="20"/>
      <c r="U63" s="20"/>
      <c r="V63" s="20"/>
    </row>
    <row r="64">
      <c r="A64" s="20"/>
      <c r="B64" s="20"/>
      <c r="C64" s="20"/>
      <c r="D64" s="20"/>
      <c r="E64" s="20"/>
      <c r="F64" s="20"/>
      <c r="G64" s="20"/>
      <c r="H64" s="20"/>
      <c r="I64" s="20"/>
      <c r="J64" s="20"/>
      <c r="K64" s="20"/>
      <c r="L64" s="20"/>
      <c r="M64" s="20"/>
      <c r="N64" s="20"/>
      <c r="O64" s="20"/>
      <c r="P64" s="20"/>
      <c r="Q64" s="20"/>
      <c r="R64" s="20"/>
      <c r="S64" s="20"/>
      <c r="T64" s="20"/>
      <c r="U64" s="20"/>
      <c r="V64" s="20"/>
    </row>
    <row r="65">
      <c r="A65" s="20"/>
      <c r="B65" s="20"/>
      <c r="C65" s="20"/>
      <c r="D65" s="20"/>
      <c r="E65" s="20"/>
      <c r="F65" s="20"/>
      <c r="G65" s="20"/>
      <c r="H65" s="20"/>
      <c r="I65" s="20"/>
      <c r="J65" s="20"/>
      <c r="K65" s="20"/>
      <c r="L65" s="20"/>
      <c r="M65" s="20"/>
      <c r="N65" s="20"/>
      <c r="O65" s="20"/>
      <c r="P65" s="20"/>
      <c r="Q65" s="20"/>
      <c r="R65" s="20"/>
      <c r="S65" s="20"/>
      <c r="T65" s="20"/>
      <c r="U65" s="20"/>
      <c r="V65" s="20"/>
    </row>
    <row r="66">
      <c r="A66" s="20"/>
      <c r="B66" s="20"/>
      <c r="C66" s="20"/>
      <c r="D66" s="20"/>
      <c r="E66" s="20"/>
      <c r="F66" s="20"/>
      <c r="G66" s="20"/>
      <c r="H66" s="20"/>
      <c r="I66" s="20"/>
      <c r="J66" s="20"/>
      <c r="K66" s="20"/>
      <c r="L66" s="20"/>
      <c r="M66" s="20"/>
      <c r="N66" s="20"/>
      <c r="O66" s="20"/>
      <c r="P66" s="20"/>
      <c r="Q66" s="20"/>
      <c r="R66" s="20"/>
      <c r="S66" s="20"/>
      <c r="T66" s="20"/>
      <c r="U66" s="20"/>
      <c r="V66" s="20"/>
    </row>
    <row r="67">
      <c r="A67" s="20"/>
      <c r="B67" s="20"/>
      <c r="C67" s="20"/>
      <c r="D67" s="20"/>
      <c r="E67" s="20"/>
      <c r="F67" s="20"/>
      <c r="G67" s="20"/>
      <c r="H67" s="20"/>
      <c r="I67" s="20"/>
      <c r="J67" s="20"/>
      <c r="K67" s="20"/>
      <c r="L67" s="20"/>
      <c r="M67" s="20"/>
      <c r="N67" s="20"/>
      <c r="O67" s="20"/>
      <c r="P67" s="20"/>
      <c r="Q67" s="20"/>
      <c r="R67" s="20"/>
      <c r="S67" s="20"/>
      <c r="T67" s="20"/>
      <c r="U67" s="20"/>
      <c r="V67" s="20"/>
    </row>
    <row r="68">
      <c r="A68" s="20"/>
      <c r="B68" s="20"/>
      <c r="C68" s="20"/>
      <c r="D68" s="20"/>
      <c r="E68" s="20"/>
      <c r="F68" s="20"/>
      <c r="G68" s="20"/>
      <c r="H68" s="20"/>
      <c r="I68" s="20"/>
      <c r="J68" s="20"/>
      <c r="K68" s="20"/>
      <c r="L68" s="20"/>
      <c r="M68" s="20"/>
      <c r="N68" s="20"/>
      <c r="O68" s="20"/>
      <c r="P68" s="20"/>
      <c r="Q68" s="20"/>
      <c r="R68" s="20"/>
      <c r="S68" s="20"/>
      <c r="T68" s="20"/>
      <c r="U68" s="20"/>
      <c r="V68" s="20"/>
    </row>
    <row r="69">
      <c r="A69" s="20"/>
      <c r="B69" s="20"/>
      <c r="C69" s="20"/>
      <c r="D69" s="20"/>
      <c r="E69" s="20"/>
      <c r="F69" s="20"/>
      <c r="G69" s="20"/>
      <c r="H69" s="20"/>
      <c r="I69" s="20"/>
      <c r="J69" s="20"/>
      <c r="K69" s="20"/>
      <c r="L69" s="20"/>
      <c r="M69" s="20"/>
      <c r="N69" s="20"/>
      <c r="O69" s="20"/>
      <c r="P69" s="20"/>
      <c r="Q69" s="20"/>
      <c r="R69" s="20"/>
      <c r="S69" s="20"/>
      <c r="T69" s="20"/>
      <c r="U69" s="20"/>
      <c r="V69" s="20"/>
    </row>
    <row r="70">
      <c r="A70" s="20"/>
      <c r="B70" s="20"/>
      <c r="C70" s="20"/>
      <c r="D70" s="20"/>
      <c r="E70" s="20"/>
      <c r="F70" s="20"/>
      <c r="G70" s="20"/>
      <c r="H70" s="20"/>
      <c r="I70" s="20"/>
      <c r="J70" s="20"/>
      <c r="K70" s="20"/>
      <c r="L70" s="20"/>
      <c r="M70" s="20"/>
      <c r="N70" s="20"/>
      <c r="O70" s="20"/>
      <c r="P70" s="20"/>
      <c r="Q70" s="20"/>
      <c r="R70" s="20"/>
      <c r="S70" s="20"/>
      <c r="T70" s="20"/>
      <c r="U70" s="20"/>
      <c r="V70" s="20"/>
    </row>
    <row r="71">
      <c r="A71" s="20"/>
      <c r="B71" s="20"/>
      <c r="C71" s="20"/>
      <c r="D71" s="20"/>
      <c r="E71" s="20"/>
      <c r="F71" s="20"/>
      <c r="G71" s="20"/>
      <c r="H71" s="20"/>
      <c r="I71" s="20"/>
      <c r="J71" s="20"/>
      <c r="K71" s="20"/>
      <c r="L71" s="20"/>
      <c r="M71" s="20"/>
      <c r="N71" s="20"/>
      <c r="O71" s="20"/>
      <c r="P71" s="20"/>
      <c r="Q71" s="20"/>
      <c r="R71" s="20"/>
      <c r="S71" s="20"/>
      <c r="T71" s="20"/>
      <c r="U71" s="20"/>
      <c r="V71" s="20"/>
    </row>
    <row r="72">
      <c r="A72" s="20"/>
      <c r="B72" s="20"/>
      <c r="C72" s="20"/>
      <c r="D72" s="20"/>
      <c r="E72" s="20"/>
      <c r="F72" s="20"/>
      <c r="G72" s="20"/>
      <c r="H72" s="20"/>
      <c r="I72" s="20"/>
      <c r="J72" s="20"/>
      <c r="K72" s="20"/>
      <c r="L72" s="20"/>
      <c r="M72" s="20"/>
      <c r="N72" s="20"/>
      <c r="O72" s="20"/>
      <c r="P72" s="20"/>
      <c r="Q72" s="20"/>
      <c r="R72" s="20"/>
      <c r="S72" s="20"/>
      <c r="T72" s="20"/>
      <c r="U72" s="20"/>
      <c r="V72" s="20"/>
    </row>
    <row r="73">
      <c r="A73" s="20"/>
      <c r="B73" s="20"/>
      <c r="C73" s="20"/>
      <c r="D73" s="20"/>
      <c r="E73" s="20"/>
      <c r="F73" s="20"/>
      <c r="G73" s="20"/>
      <c r="H73" s="20"/>
      <c r="I73" s="20"/>
      <c r="J73" s="20"/>
      <c r="K73" s="20"/>
      <c r="L73" s="20"/>
      <c r="M73" s="20"/>
      <c r="N73" s="20"/>
      <c r="O73" s="20"/>
      <c r="P73" s="20"/>
      <c r="Q73" s="20"/>
      <c r="R73" s="20"/>
      <c r="S73" s="20"/>
      <c r="T73" s="20"/>
      <c r="U73" s="20"/>
      <c r="V73" s="20"/>
    </row>
    <row r="74">
      <c r="A74" s="20"/>
      <c r="B74" s="20"/>
      <c r="C74" s="20"/>
      <c r="D74" s="20"/>
      <c r="E74" s="20"/>
      <c r="F74" s="20"/>
      <c r="G74" s="20"/>
      <c r="H74" s="20"/>
      <c r="I74" s="20"/>
      <c r="J74" s="20"/>
      <c r="K74" s="20"/>
      <c r="L74" s="20"/>
      <c r="M74" s="20"/>
      <c r="N74" s="20"/>
      <c r="O74" s="20"/>
      <c r="P74" s="20"/>
      <c r="Q74" s="20"/>
      <c r="R74" s="20"/>
      <c r="S74" s="20"/>
      <c r="T74" s="20"/>
      <c r="U74" s="20"/>
      <c r="V74" s="20"/>
    </row>
    <row r="75">
      <c r="A75" s="20"/>
      <c r="B75" s="20"/>
      <c r="C75" s="20"/>
      <c r="D75" s="20"/>
      <c r="E75" s="20"/>
      <c r="F75" s="20"/>
      <c r="G75" s="20"/>
      <c r="H75" s="20"/>
      <c r="I75" s="20"/>
      <c r="J75" s="20"/>
      <c r="K75" s="20"/>
      <c r="L75" s="20"/>
      <c r="M75" s="20"/>
      <c r="N75" s="20"/>
      <c r="O75" s="20"/>
      <c r="P75" s="20"/>
      <c r="Q75" s="20"/>
      <c r="R75" s="20"/>
      <c r="S75" s="20"/>
      <c r="T75" s="20"/>
      <c r="U75" s="20"/>
      <c r="V75" s="20"/>
    </row>
    <row r="76">
      <c r="A76" s="20"/>
      <c r="B76" s="20"/>
      <c r="C76" s="20"/>
      <c r="D76" s="20"/>
      <c r="E76" s="20"/>
      <c r="F76" s="20"/>
      <c r="G76" s="20"/>
      <c r="H76" s="20"/>
      <c r="I76" s="20"/>
      <c r="J76" s="20"/>
      <c r="K76" s="20"/>
      <c r="L76" s="20"/>
      <c r="M76" s="20"/>
      <c r="N76" s="20"/>
      <c r="O76" s="20"/>
      <c r="P76" s="20"/>
      <c r="Q76" s="20"/>
      <c r="R76" s="20"/>
      <c r="S76" s="20"/>
      <c r="T76" s="20"/>
      <c r="U76" s="20"/>
      <c r="V76" s="20"/>
    </row>
    <row r="77">
      <c r="A77" s="20"/>
      <c r="B77" s="20"/>
      <c r="C77" s="20"/>
      <c r="D77" s="20"/>
      <c r="E77" s="20"/>
      <c r="F77" s="20"/>
      <c r="G77" s="20"/>
      <c r="H77" s="20"/>
      <c r="I77" s="20"/>
      <c r="J77" s="20"/>
      <c r="K77" s="20"/>
      <c r="L77" s="20"/>
      <c r="M77" s="20"/>
      <c r="N77" s="20"/>
      <c r="O77" s="20"/>
      <c r="P77" s="20"/>
      <c r="Q77" s="20"/>
      <c r="R77" s="20"/>
      <c r="S77" s="20"/>
      <c r="T77" s="20"/>
      <c r="U77" s="20"/>
      <c r="V77" s="20"/>
    </row>
    <row r="78">
      <c r="A78" s="20"/>
      <c r="B78" s="20"/>
      <c r="C78" s="20"/>
      <c r="D78" s="20"/>
      <c r="E78" s="20"/>
      <c r="F78" s="20"/>
      <c r="G78" s="20"/>
      <c r="H78" s="20"/>
      <c r="I78" s="20"/>
      <c r="J78" s="20"/>
      <c r="K78" s="20"/>
      <c r="L78" s="20"/>
      <c r="M78" s="20"/>
      <c r="N78" s="20"/>
      <c r="O78" s="20"/>
      <c r="P78" s="20"/>
      <c r="Q78" s="20"/>
      <c r="R78" s="20"/>
      <c r="S78" s="20"/>
      <c r="T78" s="20"/>
      <c r="U78" s="20"/>
      <c r="V78" s="20"/>
    </row>
    <row r="79">
      <c r="A79" s="20"/>
      <c r="B79" s="20"/>
      <c r="C79" s="20"/>
      <c r="D79" s="20"/>
      <c r="E79" s="20"/>
      <c r="F79" s="20"/>
      <c r="G79" s="20"/>
      <c r="H79" s="20"/>
      <c r="I79" s="20"/>
      <c r="J79" s="20"/>
      <c r="K79" s="20"/>
      <c r="L79" s="20"/>
      <c r="M79" s="20"/>
      <c r="N79" s="20"/>
      <c r="O79" s="20"/>
      <c r="P79" s="20"/>
      <c r="Q79" s="20"/>
      <c r="R79" s="20"/>
      <c r="S79" s="20"/>
      <c r="T79" s="20"/>
      <c r="U79" s="20"/>
      <c r="V79" s="20"/>
    </row>
    <row r="80">
      <c r="A80" s="20"/>
      <c r="B80" s="20"/>
      <c r="C80" s="20"/>
      <c r="D80" s="20"/>
      <c r="E80" s="20"/>
      <c r="F80" s="20"/>
      <c r="G80" s="20"/>
      <c r="H80" s="20"/>
      <c r="I80" s="20"/>
      <c r="J80" s="20"/>
      <c r="K80" s="20"/>
      <c r="L80" s="20"/>
      <c r="M80" s="20"/>
      <c r="N80" s="20"/>
      <c r="O80" s="20"/>
      <c r="P80" s="20"/>
      <c r="Q80" s="20"/>
      <c r="R80" s="20"/>
      <c r="S80" s="20"/>
      <c r="T80" s="20"/>
      <c r="U80" s="20"/>
      <c r="V80" s="20"/>
    </row>
    <row r="81">
      <c r="A81" s="20"/>
      <c r="B81" s="20"/>
      <c r="C81" s="20"/>
      <c r="D81" s="20"/>
      <c r="E81" s="20"/>
      <c r="F81" s="20"/>
      <c r="G81" s="20"/>
      <c r="H81" s="20"/>
      <c r="I81" s="20"/>
      <c r="J81" s="20"/>
      <c r="K81" s="20"/>
      <c r="L81" s="20"/>
      <c r="M81" s="20"/>
      <c r="N81" s="20"/>
      <c r="O81" s="20"/>
      <c r="P81" s="20"/>
      <c r="Q81" s="20"/>
      <c r="R81" s="20"/>
      <c r="S81" s="20"/>
      <c r="T81" s="20"/>
      <c r="U81" s="20"/>
      <c r="V81" s="20"/>
    </row>
    <row r="82">
      <c r="A82" s="20"/>
      <c r="B82" s="20"/>
      <c r="C82" s="20"/>
      <c r="D82" s="20"/>
      <c r="E82" s="20"/>
      <c r="F82" s="20"/>
      <c r="G82" s="20"/>
      <c r="H82" s="20"/>
      <c r="I82" s="20"/>
      <c r="J82" s="20"/>
      <c r="K82" s="20"/>
      <c r="L82" s="20"/>
      <c r="M82" s="20"/>
      <c r="N82" s="20"/>
      <c r="O82" s="20"/>
      <c r="P82" s="20"/>
      <c r="Q82" s="20"/>
      <c r="R82" s="20"/>
      <c r="S82" s="20"/>
      <c r="T82" s="20"/>
      <c r="U82" s="20"/>
      <c r="V82" s="20"/>
    </row>
    <row r="83">
      <c r="A83" s="20"/>
      <c r="B83" s="20"/>
      <c r="C83" s="20"/>
      <c r="D83" s="20"/>
      <c r="E83" s="20"/>
      <c r="F83" s="20"/>
      <c r="G83" s="20"/>
      <c r="H83" s="20"/>
      <c r="I83" s="20"/>
      <c r="J83" s="20"/>
      <c r="K83" s="20"/>
      <c r="L83" s="20"/>
      <c r="M83" s="20"/>
      <c r="N83" s="20"/>
      <c r="O83" s="20"/>
      <c r="P83" s="20"/>
      <c r="Q83" s="20"/>
      <c r="R83" s="20"/>
      <c r="S83" s="20"/>
      <c r="T83" s="20"/>
      <c r="U83" s="20"/>
      <c r="V83" s="20"/>
    </row>
    <row r="84">
      <c r="A84" s="20"/>
      <c r="B84" s="20"/>
      <c r="C84" s="20"/>
      <c r="D84" s="20"/>
      <c r="E84" s="20"/>
      <c r="F84" s="20"/>
      <c r="G84" s="20"/>
      <c r="H84" s="20"/>
      <c r="I84" s="20"/>
      <c r="J84" s="20"/>
      <c r="K84" s="20"/>
      <c r="L84" s="20"/>
      <c r="M84" s="20"/>
      <c r="N84" s="20"/>
      <c r="O84" s="20"/>
      <c r="P84" s="20"/>
      <c r="Q84" s="20"/>
      <c r="R84" s="20"/>
      <c r="S84" s="20"/>
      <c r="T84" s="20"/>
      <c r="U84" s="20"/>
      <c r="V84" s="20"/>
    </row>
    <row r="85">
      <c r="A85" s="20"/>
      <c r="B85" s="20"/>
      <c r="C85" s="20"/>
      <c r="D85" s="20"/>
      <c r="E85" s="20"/>
      <c r="F85" s="20"/>
      <c r="G85" s="20"/>
      <c r="H85" s="20"/>
      <c r="I85" s="20"/>
      <c r="J85" s="20"/>
      <c r="K85" s="20"/>
      <c r="L85" s="20"/>
      <c r="M85" s="20"/>
      <c r="N85" s="20"/>
      <c r="O85" s="20"/>
      <c r="P85" s="20"/>
      <c r="Q85" s="20"/>
      <c r="R85" s="20"/>
      <c r="S85" s="20"/>
      <c r="T85" s="20"/>
      <c r="U85" s="20"/>
      <c r="V85" s="20"/>
    </row>
    <row r="86">
      <c r="A86" s="20"/>
      <c r="B86" s="20"/>
      <c r="C86" s="20"/>
      <c r="D86" s="20"/>
      <c r="E86" s="20"/>
      <c r="F86" s="20"/>
      <c r="G86" s="20"/>
      <c r="H86" s="20"/>
      <c r="I86" s="20"/>
      <c r="J86" s="20"/>
      <c r="K86" s="20"/>
      <c r="L86" s="20"/>
      <c r="M86" s="20"/>
      <c r="N86" s="20"/>
      <c r="O86" s="20"/>
      <c r="P86" s="20"/>
      <c r="Q86" s="20"/>
      <c r="R86" s="20"/>
      <c r="S86" s="20"/>
      <c r="T86" s="20"/>
      <c r="U86" s="20"/>
      <c r="V86" s="20"/>
    </row>
    <row r="87">
      <c r="A87" s="20"/>
      <c r="B87" s="20"/>
      <c r="C87" s="20"/>
      <c r="D87" s="20"/>
      <c r="E87" s="20"/>
      <c r="F87" s="20"/>
      <c r="G87" s="20"/>
      <c r="H87" s="20"/>
      <c r="I87" s="20"/>
      <c r="J87" s="20"/>
      <c r="K87" s="20"/>
      <c r="L87" s="20"/>
      <c r="M87" s="20"/>
      <c r="N87" s="20"/>
      <c r="O87" s="20"/>
      <c r="P87" s="20"/>
      <c r="Q87" s="20"/>
      <c r="R87" s="20"/>
      <c r="S87" s="20"/>
      <c r="T87" s="20"/>
      <c r="U87" s="20"/>
      <c r="V87" s="20"/>
    </row>
    <row r="88">
      <c r="A88" s="20"/>
      <c r="B88" s="20"/>
      <c r="C88" s="20"/>
      <c r="D88" s="20"/>
      <c r="E88" s="20"/>
      <c r="F88" s="20"/>
      <c r="G88" s="20"/>
      <c r="H88" s="20"/>
      <c r="I88" s="20"/>
      <c r="J88" s="20"/>
      <c r="K88" s="20"/>
      <c r="L88" s="20"/>
      <c r="M88" s="20"/>
      <c r="N88" s="20"/>
      <c r="O88" s="20"/>
      <c r="P88" s="20"/>
      <c r="Q88" s="20"/>
      <c r="R88" s="20"/>
      <c r="S88" s="20"/>
      <c r="T88" s="20"/>
      <c r="U88" s="20"/>
      <c r="V88" s="20"/>
    </row>
    <row r="89">
      <c r="A89" s="20"/>
      <c r="B89" s="20"/>
      <c r="C89" s="20"/>
      <c r="D89" s="20"/>
      <c r="E89" s="20"/>
      <c r="F89" s="20"/>
      <c r="G89" s="20"/>
      <c r="H89" s="20"/>
      <c r="I89" s="20"/>
      <c r="J89" s="20"/>
      <c r="K89" s="20"/>
      <c r="L89" s="20"/>
      <c r="M89" s="20"/>
      <c r="N89" s="20"/>
      <c r="O89" s="20"/>
      <c r="P89" s="20"/>
      <c r="Q89" s="20"/>
      <c r="R89" s="20"/>
      <c r="S89" s="20"/>
      <c r="T89" s="20"/>
      <c r="U89" s="20"/>
      <c r="V89" s="20"/>
    </row>
    <row r="90">
      <c r="A90" s="20"/>
      <c r="B90" s="20"/>
      <c r="C90" s="20"/>
      <c r="D90" s="20"/>
      <c r="E90" s="20"/>
      <c r="F90" s="20"/>
      <c r="G90" s="20"/>
      <c r="H90" s="20"/>
      <c r="I90" s="20"/>
      <c r="J90" s="20"/>
      <c r="K90" s="20"/>
      <c r="L90" s="20"/>
      <c r="M90" s="20"/>
      <c r="N90" s="20"/>
      <c r="O90" s="20"/>
      <c r="P90" s="20"/>
      <c r="Q90" s="20"/>
      <c r="R90" s="20"/>
      <c r="S90" s="20"/>
      <c r="T90" s="20"/>
      <c r="U90" s="20"/>
      <c r="V90" s="20"/>
    </row>
    <row r="91">
      <c r="A91" s="20"/>
      <c r="B91" s="20"/>
      <c r="C91" s="20"/>
      <c r="D91" s="20"/>
      <c r="E91" s="20"/>
      <c r="F91" s="20"/>
      <c r="G91" s="20"/>
      <c r="H91" s="20"/>
      <c r="I91" s="20"/>
      <c r="J91" s="20"/>
      <c r="K91" s="20"/>
      <c r="L91" s="20"/>
      <c r="M91" s="20"/>
      <c r="N91" s="20"/>
      <c r="O91" s="20"/>
      <c r="P91" s="20"/>
      <c r="Q91" s="20"/>
      <c r="R91" s="20"/>
      <c r="S91" s="20"/>
      <c r="T91" s="20"/>
      <c r="U91" s="20"/>
      <c r="V91" s="20"/>
    </row>
    <row r="92">
      <c r="A92" s="20"/>
      <c r="B92" s="20"/>
      <c r="C92" s="20"/>
      <c r="D92" s="20"/>
      <c r="E92" s="20"/>
      <c r="F92" s="20"/>
      <c r="G92" s="20"/>
      <c r="H92" s="20"/>
      <c r="I92" s="20"/>
      <c r="J92" s="20"/>
      <c r="K92" s="20"/>
      <c r="L92" s="20"/>
      <c r="M92" s="20"/>
      <c r="N92" s="20"/>
      <c r="O92" s="20"/>
      <c r="P92" s="20"/>
      <c r="Q92" s="20"/>
      <c r="R92" s="20"/>
      <c r="S92" s="20"/>
      <c r="T92" s="20"/>
      <c r="U92" s="20"/>
      <c r="V92" s="20"/>
    </row>
    <row r="93">
      <c r="A93" s="20"/>
      <c r="B93" s="20"/>
      <c r="C93" s="20"/>
      <c r="D93" s="20"/>
      <c r="E93" s="20"/>
      <c r="F93" s="20"/>
      <c r="G93" s="20"/>
      <c r="H93" s="20"/>
      <c r="I93" s="20"/>
      <c r="J93" s="20"/>
      <c r="K93" s="20"/>
      <c r="L93" s="20"/>
      <c r="M93" s="20"/>
      <c r="N93" s="20"/>
      <c r="O93" s="20"/>
      <c r="P93" s="20"/>
      <c r="Q93" s="20"/>
      <c r="R93" s="20"/>
      <c r="S93" s="20"/>
      <c r="T93" s="20"/>
      <c r="U93" s="20"/>
      <c r="V93" s="20"/>
    </row>
    <row r="94">
      <c r="A94" s="20"/>
      <c r="B94" s="20"/>
      <c r="C94" s="20"/>
      <c r="D94" s="20"/>
      <c r="E94" s="20"/>
      <c r="F94" s="20"/>
      <c r="G94" s="20"/>
      <c r="H94" s="20"/>
      <c r="I94" s="20"/>
      <c r="J94" s="20"/>
      <c r="K94" s="20"/>
      <c r="L94" s="20"/>
      <c r="M94" s="20"/>
      <c r="N94" s="20"/>
      <c r="O94" s="20"/>
      <c r="P94" s="20"/>
      <c r="Q94" s="20"/>
      <c r="R94" s="20"/>
      <c r="S94" s="20"/>
      <c r="T94" s="20"/>
      <c r="U94" s="20"/>
      <c r="V94" s="20"/>
    </row>
    <row r="95">
      <c r="A95" s="20"/>
      <c r="B95" s="20"/>
      <c r="C95" s="20"/>
      <c r="D95" s="20"/>
      <c r="E95" s="20"/>
      <c r="F95" s="20"/>
      <c r="G95" s="20"/>
      <c r="H95" s="20"/>
      <c r="I95" s="20"/>
      <c r="J95" s="20"/>
      <c r="K95" s="20"/>
      <c r="L95" s="20"/>
      <c r="M95" s="20"/>
      <c r="N95" s="20"/>
      <c r="O95" s="20"/>
      <c r="P95" s="20"/>
      <c r="Q95" s="20"/>
      <c r="R95" s="20"/>
      <c r="S95" s="20"/>
      <c r="T95" s="20"/>
      <c r="U95" s="20"/>
      <c r="V95" s="20"/>
    </row>
    <row r="96">
      <c r="A96" s="20"/>
      <c r="B96" s="20"/>
      <c r="C96" s="20"/>
      <c r="D96" s="20"/>
      <c r="E96" s="20"/>
      <c r="F96" s="20"/>
      <c r="G96" s="20"/>
      <c r="H96" s="20"/>
      <c r="I96" s="20"/>
      <c r="J96" s="20"/>
      <c r="K96" s="20"/>
      <c r="L96" s="20"/>
      <c r="M96" s="20"/>
      <c r="N96" s="20"/>
      <c r="O96" s="20"/>
      <c r="P96" s="20"/>
      <c r="Q96" s="20"/>
      <c r="R96" s="20"/>
      <c r="S96" s="20"/>
      <c r="T96" s="20"/>
      <c r="U96" s="20"/>
      <c r="V96" s="20"/>
    </row>
    <row r="97">
      <c r="A97" s="20"/>
      <c r="B97" s="20"/>
      <c r="C97" s="20"/>
      <c r="D97" s="20"/>
      <c r="E97" s="20"/>
      <c r="F97" s="20"/>
      <c r="G97" s="20"/>
      <c r="H97" s="20"/>
      <c r="I97" s="20"/>
      <c r="J97" s="20"/>
      <c r="K97" s="20"/>
      <c r="L97" s="20"/>
      <c r="M97" s="20"/>
      <c r="N97" s="20"/>
      <c r="O97" s="20"/>
      <c r="P97" s="20"/>
      <c r="Q97" s="20"/>
      <c r="R97" s="20"/>
      <c r="S97" s="20"/>
      <c r="T97" s="20"/>
      <c r="U97" s="20"/>
      <c r="V97" s="20"/>
    </row>
    <row r="98">
      <c r="A98" s="20"/>
      <c r="B98" s="20"/>
      <c r="C98" s="20"/>
      <c r="D98" s="20"/>
      <c r="E98" s="20"/>
      <c r="F98" s="20"/>
      <c r="G98" s="20"/>
      <c r="H98" s="20"/>
      <c r="I98" s="20"/>
      <c r="J98" s="20"/>
      <c r="K98" s="20"/>
      <c r="L98" s="20"/>
      <c r="M98" s="20"/>
      <c r="N98" s="20"/>
      <c r="O98" s="20"/>
      <c r="P98" s="20"/>
      <c r="Q98" s="20"/>
      <c r="R98" s="20"/>
      <c r="S98" s="20"/>
      <c r="T98" s="20"/>
      <c r="U98" s="20"/>
      <c r="V98" s="20"/>
    </row>
    <row r="99">
      <c r="A99" s="20"/>
      <c r="B99" s="20"/>
      <c r="C99" s="20"/>
      <c r="D99" s="20"/>
      <c r="E99" s="20"/>
      <c r="F99" s="20"/>
      <c r="G99" s="20"/>
      <c r="H99" s="20"/>
      <c r="I99" s="20"/>
      <c r="J99" s="20"/>
      <c r="K99" s="20"/>
      <c r="L99" s="20"/>
      <c r="M99" s="20"/>
      <c r="N99" s="20"/>
      <c r="O99" s="20"/>
      <c r="P99" s="20"/>
      <c r="Q99" s="20"/>
      <c r="R99" s="20"/>
      <c r="S99" s="20"/>
      <c r="T99" s="20"/>
      <c r="U99" s="20"/>
      <c r="V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row>
  </sheetData>
  <mergeCells count="1">
    <mergeCell ref="A1:B1"/>
  </mergeCells>
  <hyperlinks>
    <hyperlink r:id="rId1" ref="B2"/>
    <hyperlink r:id="rId2" location="What_is_LLIN_distribution_and_how_does_it_target_malaria" ref="A3"/>
    <hyperlink r:id="rId3" location="What_is_LLIN_distribution_and_how_does_it_target_malaria" ref="G3"/>
    <hyperlink r:id="rId4" location="gid=1266854728&amp;range=D175:E175" ref="J3"/>
    <hyperlink r:id="rId5" location="How_GiveWell_estimates_cost-effectiveness" ref="K3"/>
    <hyperlink r:id="rId6" location="How_GiveWell_estimates_cost-effectiveness" ref="L3"/>
    <hyperlink r:id="rId7" location="Cost_effectiveness" ref="A4"/>
    <hyperlink r:id="rId8" location="Cost_effectiveness" ref="G4"/>
    <hyperlink r:id="rId9" location="gid=1266854728&amp;range=E229" ref="J4"/>
    <hyperlink r:id="rId10" location="gid=1266854728&amp;range=C197:E197" ref="K4"/>
    <hyperlink r:id="rId11" location="gid=1266854728&amp;range=C197:E197" ref="L4"/>
    <hyperlink r:id="rId12" ref="A5"/>
    <hyperlink r:id="rId13" location="gid=247698718&amp;range=F40" ref="G5"/>
    <hyperlink r:id="rId14" location="gid=42809307&amp;range=B3" ref="J5"/>
    <hyperlink r:id="rId15" location="gid=1924307794&amp;range=A38" ref="K5"/>
    <hyperlink r:id="rId16" location="gid=1924307794&amp;range=A44" ref="L5"/>
    <hyperlink r:id="rId17" location="gid=2134466703" ref="A6"/>
    <hyperlink r:id="rId18" location="gid=2134466703&amp;range=B13" ref="G6"/>
    <hyperlink r:id="rId19" location="gid=2134466703&amp;range=A37" ref="J6"/>
    <hyperlink r:id="rId20" location="gid=2134466703&amp;range=A14" ref="K6"/>
    <hyperlink r:id="rId21" location="gid=2134466703&amp;range=A50" ref="L6"/>
    <hyperlink r:id="rId22" location="gid=0" ref="A7"/>
    <hyperlink r:id="rId23" location="gid=1266854728&amp;range=H62" ref="G7"/>
    <hyperlink r:id="rId24" location="gid=1266854728&amp;range=C123:E123" ref="J7"/>
    <hyperlink r:id="rId25" location="gid=1266854728&amp;range=E98" ref="K7"/>
    <hyperlink r:id="rId26" location="gid=1266854728&amp;range=E99" ref="L7"/>
    <hyperlink r:id="rId27" location="gid=941486089" ref="A8"/>
    <hyperlink r:id="rId28" location="gid=941486089&amp;range=A78" ref="C8"/>
    <hyperlink r:id="rId29" location="gid=1755045987&amp;range=B52" ref="G8"/>
    <hyperlink r:id="rId30" location="gid=941486089&amp;range=A78" ref="J8"/>
    <hyperlink r:id="rId31" location="gid=1755045987&amp;range=A59" ref="A9"/>
    <hyperlink r:id="rId32" location="gid=1755045987&amp;range=B52" ref="G9"/>
    <hyperlink r:id="rId33" location="gid=628925140" ref="A10"/>
  </hyperlinks>
  <drawing r:id="rId3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 customWidth="1" min="5" max="5" width="17.25"/>
  </cols>
  <sheetData>
    <row r="1">
      <c r="A1" s="49"/>
      <c r="B1" s="3"/>
      <c r="H1" s="3" t="s">
        <v>4</v>
      </c>
    </row>
    <row r="2">
      <c r="A2" s="6" t="s">
        <v>137</v>
      </c>
      <c r="B2" s="3" t="s">
        <v>97</v>
      </c>
      <c r="H2" s="3" t="s">
        <v>138</v>
      </c>
    </row>
    <row r="3">
      <c r="A3" s="50" t="s">
        <v>139</v>
      </c>
      <c r="B3" s="51">
        <f>SUMPRODUCT(B15:F15, B9:F9)</f>
        <v>10825.08</v>
      </c>
      <c r="C3" s="3"/>
      <c r="D3" s="3"/>
      <c r="E3" s="3"/>
      <c r="F3" s="3"/>
    </row>
    <row r="4">
      <c r="A4" s="52" t="s">
        <v>140</v>
      </c>
      <c r="B4" s="53">
        <v>3.3</v>
      </c>
      <c r="C4" s="3"/>
      <c r="D4" s="3"/>
      <c r="E4" s="3"/>
      <c r="F4" s="3"/>
      <c r="H4" s="6" t="s">
        <v>141</v>
      </c>
    </row>
    <row r="5">
      <c r="A5" s="50" t="s">
        <v>142</v>
      </c>
      <c r="B5" s="51">
        <f>B3/B4</f>
        <v>3280.327273</v>
      </c>
      <c r="C5" s="3"/>
      <c r="D5" s="3"/>
      <c r="E5" s="3"/>
      <c r="F5" s="3"/>
    </row>
    <row r="6">
      <c r="A6" s="52"/>
      <c r="B6" s="3"/>
      <c r="C6" s="3"/>
      <c r="D6" s="3"/>
      <c r="E6" s="3"/>
      <c r="F6" s="3"/>
    </row>
    <row r="7">
      <c r="A7" s="54" t="s">
        <v>143</v>
      </c>
      <c r="B7" s="3" t="s">
        <v>144</v>
      </c>
      <c r="C7" s="3" t="s">
        <v>145</v>
      </c>
      <c r="D7" s="3" t="s">
        <v>146</v>
      </c>
      <c r="E7" s="3" t="s">
        <v>147</v>
      </c>
      <c r="F7" s="3" t="s">
        <v>148</v>
      </c>
    </row>
    <row r="8">
      <c r="A8" s="55" t="s">
        <v>149</v>
      </c>
      <c r="B8" s="56">
        <f t="shared" ref="B8:F8" si="1">1*10^6</f>
        <v>1000000</v>
      </c>
      <c r="C8" s="56">
        <f t="shared" si="1"/>
        <v>1000000</v>
      </c>
      <c r="D8" s="56">
        <f t="shared" si="1"/>
        <v>1000000</v>
      </c>
      <c r="E8" s="56">
        <f t="shared" si="1"/>
        <v>1000000</v>
      </c>
      <c r="F8" s="56">
        <f t="shared" si="1"/>
        <v>1000000</v>
      </c>
      <c r="G8" s="57"/>
      <c r="H8" s="57"/>
      <c r="I8" s="57"/>
      <c r="J8" s="58"/>
    </row>
    <row r="9">
      <c r="A9" s="59" t="s">
        <v>150</v>
      </c>
      <c r="B9" s="60">
        <v>0.16</v>
      </c>
      <c r="C9" s="60">
        <v>0.33</v>
      </c>
      <c r="D9" s="60">
        <v>0.02</v>
      </c>
      <c r="E9" s="60">
        <v>0.3</v>
      </c>
      <c r="F9" s="60">
        <v>0.18</v>
      </c>
    </row>
    <row r="10">
      <c r="A10" s="61" t="s">
        <v>151</v>
      </c>
      <c r="B10" s="62">
        <v>4196.0</v>
      </c>
      <c r="C10" s="62">
        <v>6746.0</v>
      </c>
      <c r="D10" s="62">
        <v>6095.0</v>
      </c>
      <c r="E10" s="62">
        <v>5736.0</v>
      </c>
      <c r="F10" s="62">
        <v>4517.0</v>
      </c>
    </row>
    <row r="11">
      <c r="A11" s="61" t="s">
        <v>152</v>
      </c>
      <c r="B11" s="62">
        <v>2833.0</v>
      </c>
      <c r="C11" s="62">
        <v>3985.0</v>
      </c>
      <c r="D11" s="62">
        <v>3600.0</v>
      </c>
      <c r="E11" s="62">
        <v>3630.0</v>
      </c>
      <c r="F11" s="62">
        <v>2859.0</v>
      </c>
    </row>
    <row r="12">
      <c r="A12" s="61" t="s">
        <v>153</v>
      </c>
      <c r="B12" s="62">
        <v>1042.0</v>
      </c>
      <c r="C12" s="62">
        <v>1106.0</v>
      </c>
      <c r="D12" s="62">
        <v>1701.0</v>
      </c>
      <c r="E12" s="63">
        <v>837.0</v>
      </c>
      <c r="F12" s="62">
        <v>1162.0</v>
      </c>
    </row>
    <row r="13">
      <c r="A13" s="3" t="s">
        <v>154</v>
      </c>
      <c r="B13" s="64">
        <f t="shared" ref="B13:F13" si="2">SUM(B10:B12)</f>
        <v>8071</v>
      </c>
      <c r="C13" s="64">
        <f t="shared" si="2"/>
        <v>11837</v>
      </c>
      <c r="D13" s="64">
        <f t="shared" si="2"/>
        <v>11396</v>
      </c>
      <c r="E13" s="64">
        <f t="shared" si="2"/>
        <v>10203</v>
      </c>
      <c r="F13" s="64">
        <f t="shared" si="2"/>
        <v>8538</v>
      </c>
    </row>
    <row r="14">
      <c r="A14" s="61" t="s">
        <v>155</v>
      </c>
      <c r="B14" s="63">
        <v>646.0</v>
      </c>
      <c r="C14" s="63">
        <v>947.0</v>
      </c>
      <c r="D14" s="63">
        <v>912.0</v>
      </c>
      <c r="E14" s="63">
        <v>816.0</v>
      </c>
      <c r="F14" s="63">
        <v>683.0</v>
      </c>
    </row>
    <row r="15">
      <c r="A15" s="3" t="s">
        <v>156</v>
      </c>
      <c r="B15" s="65">
        <f t="shared" ref="B15:F15" si="3">SUM(B13:B14)</f>
        <v>8717</v>
      </c>
      <c r="C15" s="65">
        <f t="shared" si="3"/>
        <v>12784</v>
      </c>
      <c r="D15" s="65">
        <f t="shared" si="3"/>
        <v>12308</v>
      </c>
      <c r="E15" s="65">
        <f t="shared" si="3"/>
        <v>11019</v>
      </c>
      <c r="F15" s="65">
        <f t="shared" si="3"/>
        <v>9221</v>
      </c>
    </row>
    <row r="17">
      <c r="A17" s="3" t="s">
        <v>157</v>
      </c>
    </row>
    <row r="18">
      <c r="A18" s="6" t="s">
        <v>158</v>
      </c>
      <c r="B18" s="66">
        <v>0.1</v>
      </c>
      <c r="C18" s="66">
        <v>0.1</v>
      </c>
      <c r="D18" s="66">
        <v>0.1</v>
      </c>
      <c r="E18" s="66">
        <v>0.1</v>
      </c>
      <c r="F18" s="66">
        <v>0.1</v>
      </c>
    </row>
    <row r="19">
      <c r="A19" s="61" t="s">
        <v>159</v>
      </c>
      <c r="B19" s="66">
        <v>0.05</v>
      </c>
      <c r="C19" s="66">
        <v>0.05</v>
      </c>
      <c r="D19" s="66">
        <v>0.05</v>
      </c>
      <c r="E19" s="66">
        <v>0.05</v>
      </c>
      <c r="F19" s="66">
        <v>0.05</v>
      </c>
    </row>
    <row r="20">
      <c r="A20" s="61" t="s">
        <v>160</v>
      </c>
      <c r="B20" s="66">
        <v>0.02</v>
      </c>
      <c r="C20" s="66">
        <v>0.02</v>
      </c>
      <c r="D20" s="66">
        <v>0.02</v>
      </c>
      <c r="E20" s="66">
        <v>0.02</v>
      </c>
      <c r="F20" s="66">
        <v>0.02</v>
      </c>
    </row>
    <row r="21">
      <c r="A21" s="61" t="s">
        <v>161</v>
      </c>
      <c r="B21" s="66">
        <v>-0.02</v>
      </c>
      <c r="C21" s="66">
        <v>-0.02</v>
      </c>
      <c r="D21" s="66">
        <v>-0.02</v>
      </c>
      <c r="E21" s="66">
        <v>-0.02</v>
      </c>
      <c r="F21" s="66">
        <v>-0.02</v>
      </c>
    </row>
    <row r="22">
      <c r="A22" s="61" t="s">
        <v>162</v>
      </c>
      <c r="B22" s="66">
        <v>-0.05</v>
      </c>
      <c r="C22" s="66">
        <v>-0.05</v>
      </c>
      <c r="D22" s="66">
        <v>-0.05</v>
      </c>
      <c r="E22" s="66">
        <v>-0.05</v>
      </c>
      <c r="F22" s="66">
        <v>-0.05</v>
      </c>
    </row>
    <row r="23">
      <c r="A23" s="61" t="s">
        <v>163</v>
      </c>
      <c r="B23" s="66">
        <v>-0.02</v>
      </c>
      <c r="C23" s="66">
        <v>-0.02</v>
      </c>
      <c r="D23" s="66">
        <v>-0.02</v>
      </c>
      <c r="E23" s="66">
        <v>-0.02</v>
      </c>
      <c r="F23" s="66">
        <v>-0.02</v>
      </c>
    </row>
    <row r="24">
      <c r="A24" s="3" t="s">
        <v>164</v>
      </c>
      <c r="B24" s="67">
        <f t="shared" ref="B24:F24" si="4">1+SUM(B19:B23)</f>
        <v>0.98</v>
      </c>
      <c r="C24" s="67">
        <f t="shared" si="4"/>
        <v>0.98</v>
      </c>
      <c r="D24" s="67">
        <f t="shared" si="4"/>
        <v>0.98</v>
      </c>
      <c r="E24" s="67">
        <f t="shared" si="4"/>
        <v>0.98</v>
      </c>
      <c r="F24" s="67">
        <f t="shared" si="4"/>
        <v>0.98</v>
      </c>
    </row>
    <row r="26">
      <c r="A26" s="3" t="s">
        <v>165</v>
      </c>
      <c r="B26" s="68">
        <f t="shared" ref="B26:F26" si="5">B18*B24</f>
        <v>0.098</v>
      </c>
      <c r="C26" s="68">
        <f t="shared" si="5"/>
        <v>0.098</v>
      </c>
      <c r="D26" s="68">
        <f t="shared" si="5"/>
        <v>0.098</v>
      </c>
      <c r="E26" s="68">
        <f t="shared" si="5"/>
        <v>0.098</v>
      </c>
      <c r="F26" s="68">
        <f t="shared" si="5"/>
        <v>0.098</v>
      </c>
    </row>
    <row r="28">
      <c r="A28" s="3" t="s">
        <v>166</v>
      </c>
      <c r="B28" s="69">
        <f t="shared" ref="B28:F28" si="6">(B10+B11)*B24</f>
        <v>6888.42</v>
      </c>
      <c r="C28" s="69">
        <f t="shared" si="6"/>
        <v>10516.38</v>
      </c>
      <c r="D28" s="69">
        <f t="shared" si="6"/>
        <v>9501.1</v>
      </c>
      <c r="E28" s="69">
        <f t="shared" si="6"/>
        <v>9178.68</v>
      </c>
      <c r="F28" s="69">
        <f t="shared" si="6"/>
        <v>7228.48</v>
      </c>
    </row>
    <row r="29">
      <c r="A29" s="3" t="s">
        <v>167</v>
      </c>
      <c r="B29" s="69">
        <f t="shared" ref="B29:F29" si="7">B12*B24</f>
        <v>1021.16</v>
      </c>
      <c r="C29" s="69">
        <f t="shared" si="7"/>
        <v>1083.88</v>
      </c>
      <c r="D29" s="69">
        <f t="shared" si="7"/>
        <v>1666.98</v>
      </c>
      <c r="E29" s="69">
        <f t="shared" si="7"/>
        <v>820.26</v>
      </c>
      <c r="F29" s="69">
        <f t="shared" si="7"/>
        <v>1138.76</v>
      </c>
    </row>
    <row r="30">
      <c r="A30" s="3" t="s">
        <v>168</v>
      </c>
      <c r="B30" s="69">
        <f t="shared" ref="B30:F30" si="8">B26*B13</f>
        <v>790.958</v>
      </c>
      <c r="C30" s="69">
        <f t="shared" si="8"/>
        <v>1160.026</v>
      </c>
      <c r="D30" s="69">
        <f t="shared" si="8"/>
        <v>1116.808</v>
      </c>
      <c r="E30" s="69">
        <f t="shared" si="8"/>
        <v>999.894</v>
      </c>
      <c r="F30" s="69">
        <f t="shared" si="8"/>
        <v>836.724</v>
      </c>
    </row>
    <row r="31">
      <c r="A31" s="3" t="s">
        <v>169</v>
      </c>
      <c r="B31" s="69">
        <f t="shared" ref="B31:F31" si="9">SUM(B28:B30)</f>
        <v>8700.538</v>
      </c>
      <c r="C31" s="69">
        <f t="shared" si="9"/>
        <v>12760.286</v>
      </c>
      <c r="D31" s="69">
        <f t="shared" si="9"/>
        <v>12284.888</v>
      </c>
      <c r="E31" s="69">
        <f t="shared" si="9"/>
        <v>10998.834</v>
      </c>
      <c r="F31" s="69">
        <f t="shared" si="9"/>
        <v>9203.964</v>
      </c>
    </row>
    <row r="32">
      <c r="H32" s="3" t="s">
        <v>170</v>
      </c>
    </row>
    <row r="33">
      <c r="A33" s="6" t="s">
        <v>171</v>
      </c>
      <c r="B33" s="3" t="s">
        <v>172</v>
      </c>
      <c r="C33" s="6" t="s">
        <v>173</v>
      </c>
      <c r="D33" s="3" t="s">
        <v>174</v>
      </c>
      <c r="E33" s="2" t="s">
        <v>175</v>
      </c>
      <c r="F33" s="3" t="s">
        <v>176</v>
      </c>
      <c r="H33" s="3" t="s">
        <v>177</v>
      </c>
    </row>
    <row r="34">
      <c r="A34" s="3" t="s">
        <v>178</v>
      </c>
      <c r="B34" s="70">
        <f t="shared" ref="B34:B37" si="10">SUMPRODUCT(B$9:F$9, B28:F28)</f>
        <v>8817.305</v>
      </c>
      <c r="C34" s="71">
        <v>1.0</v>
      </c>
      <c r="D34" s="72">
        <f t="shared" ref="D34:D36" si="11">B34*C34</f>
        <v>8817.305</v>
      </c>
      <c r="E34" s="2" t="s">
        <v>179</v>
      </c>
      <c r="F34" s="68">
        <f t="shared" ref="F34:F36" si="12">B34/$B$37</f>
        <v>0.8160361662</v>
      </c>
    </row>
    <row r="35">
      <c r="A35" s="3" t="s">
        <v>153</v>
      </c>
      <c r="B35" s="70">
        <f t="shared" si="10"/>
        <v>1005.4604</v>
      </c>
      <c r="C35" s="73">
        <f>1/116</f>
        <v>0.008620689655</v>
      </c>
      <c r="D35" s="72">
        <f t="shared" si="11"/>
        <v>8.667762069</v>
      </c>
      <c r="E35" s="2" t="s">
        <v>180</v>
      </c>
      <c r="F35" s="68">
        <f t="shared" si="12"/>
        <v>0.09305474292</v>
      </c>
    </row>
    <row r="36">
      <c r="A36" s="3" t="s">
        <v>181</v>
      </c>
      <c r="B36" s="70">
        <f t="shared" si="10"/>
        <v>982.27654</v>
      </c>
      <c r="C36" s="73">
        <f>1/2.3</f>
        <v>0.4347826087</v>
      </c>
      <c r="D36" s="72">
        <f t="shared" si="11"/>
        <v>427.0767565</v>
      </c>
      <c r="E36" s="2" t="s">
        <v>33</v>
      </c>
      <c r="F36" s="68">
        <f t="shared" si="12"/>
        <v>0.09090909091</v>
      </c>
    </row>
    <row r="37">
      <c r="A37" s="3" t="s">
        <v>169</v>
      </c>
      <c r="B37" s="70">
        <f t="shared" si="10"/>
        <v>10805.04194</v>
      </c>
    </row>
  </sheetData>
  <hyperlinks>
    <hyperlink r:id="rId1" location="gid=1755045987" ref="A2"/>
    <hyperlink r:id="rId2" location="gid=1755045987&amp;range=A68" ref="H4"/>
    <hyperlink r:id="rId3" location="gid=1755045987&amp;range=A71" ref="A7"/>
    <hyperlink r:id="rId4" location="How_are_donations_allocated_across_countries" ref="A9"/>
    <hyperlink r:id="rId5" location="gid=1755045987&amp;range=A59" ref="A18"/>
    <hyperlink r:id="rId6" location="gid=1755045987&amp;range=A67" ref="A33"/>
    <hyperlink r:id="rId7" location="gid=1755045987&amp;range=B52" ref="C33"/>
  </hyperlinks>
  <drawing r:id="rId8"/>
</worksheet>
</file>